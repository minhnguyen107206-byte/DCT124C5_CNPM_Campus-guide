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Test case" sheetId="2" state="visible" r:id="rId4"/>
    <sheet name="Tổng hợp" sheetId="3" state="visible" r:id="rId5"/>
    <sheet name="Nhật ký lỗi" sheetId="4" state="visible" r:id="rId6"/>
  </sheets>
  <definedNames>
    <definedName function="false" hidden="true" localSheetId="1" name="_xlnm._FilterDatabase" vbProcedure="false">'Test case'!$A$1:$M$97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<sst xmlns="http://schemas.openxmlformats.org/spreadsheetml/2006/main" count="1140" uniqueCount="561">
  <si>
    <t xml:space="preserve">CÁCH DÙNG</t>
  </si>
  <si>
    <t xml:space="preserve">- Sheet 'Test case': mỗi dòng là một ca. Chạy theo 'Các bước', điền 'Kết quả thực tế', chọn Trạng thái (Pass/Fail/Blocked), ngày test.</t>
  </si>
  <si>
    <t xml:space="preserve">- Ca Fail: ghi lỗi ở 'Nhật ký lỗi' (mã BUG-xx), điền mã vào 'Ghi chú / mã lỗi', rồi báo người phụ trách ở cột I.</t>
  </si>
  <si>
    <t xml:space="preserve">- Sheet 'Tổng hợp' tự cập nhật; dán số liệu vào báo cáo.</t>
  </si>
  <si>
    <t xml:space="preserve">- Dữ liệu mẫu: admin@campusguide.local / Admin@123, btv@campusguide.local / Btv@1234. Chế độ DEMO: bản dịch dạng [en] văn bản gốc, audio là tiếng bíp.</t>
  </si>
  <si>
    <t xml:space="preserve">- Ca UC01–08, UC12–17, UC22–23 viết ở mức cơ bản theo README; nên bổ sung sau khi đọc kỹ mô tả use case trong báo cáo của từng người.</t>
  </si>
  <si>
    <t xml:space="preserve">- Sheet 'Nhật ký lỗi' đã có sẵn 9 điểm NGHI VẤN từ việc đọc mã nguồn. Chưa chạy thử nên đừng coi là lỗi chắc chắn.</t>
  </si>
  <si>
    <t xml:space="preserve">Mã TC</t>
  </si>
  <si>
    <t xml:space="preserve">UC</t>
  </si>
  <si>
    <t xml:space="preserve">Tên use case</t>
  </si>
  <si>
    <t xml:space="preserve">Loại</t>
  </si>
  <si>
    <t xml:space="preserve">Mô tả</t>
  </si>
  <si>
    <t xml:space="preserve">Tiền điều kiện</t>
  </si>
  <si>
    <t xml:space="preserve">Các bước</t>
  </si>
  <si>
    <t xml:space="preserve">Kết quả mong đợi</t>
  </si>
  <si>
    <t xml:space="preserve">Người phụ trách sửa</t>
  </si>
  <si>
    <t xml:space="preserve">Kết quả thực tế</t>
  </si>
  <si>
    <t xml:space="preserve">Trạng thái</t>
  </si>
  <si>
    <t xml:space="preserve">Ngày test</t>
  </si>
  <si>
    <t xml:space="preserve">Ghi chú / mã lỗi</t>
  </si>
  <si>
    <t xml:space="preserve">TC01-01</t>
  </si>
  <si>
    <t xml:space="preserve">UC01</t>
  </si>
  <si>
    <t xml:space="preserve">Chọn ngôn ngữ</t>
  </si>
  <si>
    <t xml:space="preserve">Chính</t>
  </si>
  <si>
    <t xml:space="preserve">Chọn ngôn ngữ lần đầu</t>
  </si>
  <si>
    <t xml:space="preserve">Cài mới app, backend chạy</t>
  </si>
  <si>
    <t xml:space="preserve">1. Mở app
2. Chọn English</t>
  </si>
  <si>
    <t xml:space="preserve">Vào màn hình chính, giao diện và nội dung điểm hiển thị tiếng Anh</t>
  </si>
  <si>
    <t xml:space="preserve">Minh</t>
  </si>
  <si>
    <t xml:space="preserve">Chưa test</t>
  </si>
  <si>
    <t xml:space="preserve">TC01-02</t>
  </si>
  <si>
    <t xml:space="preserve">Thay thế</t>
  </si>
  <si>
    <t xml:space="preserve">Đổi ngôn ngữ trong Cài đặt</t>
  </si>
  <si>
    <t xml:space="preserve">Backend đang chạy; app đã chọn ngôn ngữ</t>
  </si>
  <si>
    <t xml:space="preserve">1. Cài đặt
2. Đổi sang Tiếng Việt</t>
  </si>
  <si>
    <t xml:space="preserve">Giao diện và nội dung đổi sang tiếng Việt, ngôn ngữ được nhớ khi mở lại app</t>
  </si>
  <si>
    <t xml:space="preserve">TC01-03</t>
  </si>
  <si>
    <t xml:space="preserve">Ngoại lệ</t>
  </si>
  <si>
    <t xml:space="preserve">Không kết nối được máy chủ</t>
  </si>
  <si>
    <t xml:space="preserve">Tắt backend</t>
  </si>
  <si>
    <t xml:space="preserve">1. Mở app lần đầu</t>
  </si>
  <si>
    <t xml:space="preserve">Báo lỗi dễ hiểu, không crash</t>
  </si>
  <si>
    <t xml:space="preserve">TC02-01</t>
  </si>
  <si>
    <t xml:space="preserve">UC02</t>
  </si>
  <si>
    <t xml:space="preserve">Bản đồ, danh sách điểm</t>
  </si>
  <si>
    <t xml:space="preserve">Xem bản đồ và danh sách điểm</t>
  </si>
  <si>
    <t xml:space="preserve">1. Mở tab Bản đồ
2. Mở tab Danh sách
3. Bấm một điểm</t>
  </si>
  <si>
    <t xml:space="preserve">Bản đồ hiện đủ 8 điểm mẫu; danh sách khớp; mở được chi tiết điểm</t>
  </si>
  <si>
    <t xml:space="preserve">TC02-02</t>
  </si>
  <si>
    <t xml:space="preserve">Mất mạng khi xem điểm</t>
  </si>
  <si>
    <t xml:space="preserve">Đã tải gói offline, sau đó tắt mạng</t>
  </si>
  <si>
    <t xml:space="preserve">1. Mở bản đồ</t>
  </si>
  <si>
    <t xml:space="preserve">Vẫn thấy ghim các điểm có trong gói offline</t>
  </si>
  <si>
    <t xml:space="preserve">TC03-01</t>
  </si>
  <si>
    <t xml:space="preserve">UC03</t>
  </si>
  <si>
    <t xml:space="preserve">Tìm kiếm</t>
  </si>
  <si>
    <t xml:space="preserve">Tìm kiếm theo tên điểm</t>
  </si>
  <si>
    <t xml:space="preserve">1. Mở Tìm kiếm
2. Gõ một phần tên tòa nhà</t>
  </si>
  <si>
    <t xml:space="preserve">Danh sách kết quả khớp, bấm vào mở được chi tiết</t>
  </si>
  <si>
    <t xml:space="preserve">TC03-02</t>
  </si>
  <si>
    <t xml:space="preserve">Từ khóa không có kết quả</t>
  </si>
  <si>
    <t xml:space="preserve">1. Gõ chuỗi vô nghĩa 'zzzzq'</t>
  </si>
  <si>
    <t xml:space="preserve">Hiện thông báo không tìm thấy, không lỗi</t>
  </si>
  <si>
    <t xml:space="preserve">TC04-01</t>
  </si>
  <si>
    <t xml:space="preserve">UC04</t>
  </si>
  <si>
    <t xml:space="preserve">Chỉ đường</t>
  </si>
  <si>
    <t xml:space="preserve">Chỉ đường đến một điểm</t>
  </si>
  <si>
    <t xml:space="preserve">Bật vị trí giả lập</t>
  </si>
  <si>
    <t xml:space="preserve">1. Mở chi tiết điểm
2. Bấm Chỉ đường</t>
  </si>
  <si>
    <t xml:space="preserve">Hiện tuyến đường và khoảng cách (OSRM)</t>
  </si>
  <si>
    <t xml:space="preserve">TC04-02</t>
  </si>
  <si>
    <t xml:space="preserve">Không có vị trí / không có mạng</t>
  </si>
  <si>
    <t xml:space="preserve">Tắt vị trí hoặc mạng</t>
  </si>
  <si>
    <t xml:space="preserve">1. Bấm Chỉ đường</t>
  </si>
  <si>
    <t xml:space="preserve">Báo lỗi hoặc gợi ý bật vị trí, không crash</t>
  </si>
  <si>
    <t xml:space="preserve">TC05-01</t>
  </si>
  <si>
    <t xml:space="preserve">UC05</t>
  </si>
  <si>
    <t xml:space="preserve">Quét QR</t>
  </si>
  <si>
    <t xml:space="preserve">Quét QR hợp lệ</t>
  </si>
  <si>
    <t xml:space="preserve">Mở ảnh QR của điểm trên màn hình máy tính</t>
  </si>
  <si>
    <t xml:space="preserve">1. Chọn Scan QR
2. Đưa camera vào mã</t>
  </si>
  <si>
    <t xml:space="preserve">Mở đúng điểm và phát thuyết minh theo ngôn ngữ đã chọn</t>
  </si>
  <si>
    <t xml:space="preserve">TC05-02</t>
  </si>
  <si>
    <t xml:space="preserve">QR không thuộc hệ thống</t>
  </si>
  <si>
    <t xml:space="preserve">1. Quét một QR bất kỳ (link web)</t>
  </si>
  <si>
    <t xml:space="preserve">Báo mã không hợp lệ, không crash</t>
  </si>
  <si>
    <t xml:space="preserve">TC05-03</t>
  </si>
  <si>
    <t xml:space="preserve">Từ chối quyền camera</t>
  </si>
  <si>
    <t xml:space="preserve">Chưa cấp quyền camera</t>
  </si>
  <si>
    <t xml:space="preserve">1. Bấm Scan QR
2. Từ chối quyền</t>
  </si>
  <si>
    <t xml:space="preserve">Hiện hướng dẫn cấp quyền</t>
  </si>
  <si>
    <t xml:space="preserve">TC06-01</t>
  </si>
  <si>
    <t xml:space="preserve">UC06</t>
  </si>
  <si>
    <t xml:space="preserve">Thuyết minh theo GPS</t>
  </si>
  <si>
    <t xml:space="preserve">Tự thuyết minh khi đến gần</t>
  </si>
  <si>
    <t xml:space="preserve">Bật nút tai nghe; giả lập vị trí xa điểm</t>
  </si>
  <si>
    <t xml:space="preserve">1. Đổi vị trí giả lập vào bán kính điểm</t>
  </si>
  <si>
    <t xml:space="preserve">App tự mở và phát thuyết minh điểm đó</t>
  </si>
  <si>
    <t xml:space="preserve">TC06-02</t>
  </si>
  <si>
    <t xml:space="preserve">Không phát lặp trong 30 phút</t>
  </si>
  <si>
    <t xml:space="preserve">Vừa nghe xong tự động</t>
  </si>
  <si>
    <t xml:space="preserve">1. Ra khỏi rồi vào lại vùng điểm</t>
  </si>
  <si>
    <t xml:space="preserve">Không tự phát lại trước 30 phút</t>
  </si>
  <si>
    <t xml:space="preserve">TC06-03</t>
  </si>
  <si>
    <t xml:space="preserve">Tắt nút tai nghe</t>
  </si>
  <si>
    <t xml:space="preserve">1. Tắt tai nghe
2. Vào vùng điểm</t>
  </si>
  <si>
    <t xml:space="preserve">Không tự phát</t>
  </si>
  <si>
    <t xml:space="preserve">TC07-01</t>
  </si>
  <si>
    <t xml:space="preserve">UC07</t>
  </si>
  <si>
    <t xml:space="preserve">Điều khiển audio</t>
  </si>
  <si>
    <t xml:space="preserve">Phát/tạm dừng/tua audio</t>
  </si>
  <si>
    <t xml:space="preserve">1. Bấm Listen
2. Tạm dừng, tiếp tục, tua</t>
  </si>
  <si>
    <t xml:space="preserve">Các nút hoạt động; mini player đồng bộ</t>
  </si>
  <si>
    <t xml:space="preserve">TC07-02</t>
  </si>
  <si>
    <t xml:space="preserve">Ghi nhận lượt nghe</t>
  </si>
  <si>
    <t xml:space="preserve">Mở trang Thống kê trước</t>
  </si>
  <si>
    <t xml:space="preserve">1. Nghe một điểm
2. Xem Thống kê</t>
  </si>
  <si>
    <t xml:space="preserve">Tổng lượt nghe tăng 1 với đúng nguồn (QR/GPS/Danh sách/Tour)</t>
  </si>
  <si>
    <t xml:space="preserve">TC07-03</t>
  </si>
  <si>
    <t xml:space="preserve">Điểm chưa có audio</t>
  </si>
  <si>
    <t xml:space="preserve">1. Mở điểm chưa có audio</t>
  </si>
  <si>
    <t xml:space="preserve">Báo chưa có audio, không crash</t>
  </si>
  <si>
    <t xml:space="preserve">TC08-01</t>
  </si>
  <si>
    <t xml:space="preserve">UC08</t>
  </si>
  <si>
    <t xml:space="preserve">Tour</t>
  </si>
  <si>
    <t xml:space="preserve">Đi theo tour</t>
  </si>
  <si>
    <t xml:space="preserve">1. Tab Tours
2. Chọn tour
3. Bắt đầu</t>
  </si>
  <si>
    <t xml:space="preserve">Đi lần lượt các điểm theo thứ tự, nghe được từng điểm</t>
  </si>
  <si>
    <t xml:space="preserve">TC08-02</t>
  </si>
  <si>
    <t xml:space="preserve">Tour đã bị ẩn ở Admin</t>
  </si>
  <si>
    <t xml:space="preserve">Admin vừa ẩn tour</t>
  </si>
  <si>
    <t xml:space="preserve">1. Mở tab Tours</t>
  </si>
  <si>
    <t xml:space="preserve">Tour không còn hiển thị</t>
  </si>
  <si>
    <t xml:space="preserve">TC09-01</t>
  </si>
  <si>
    <t xml:space="preserve">UC09</t>
  </si>
  <si>
    <t xml:space="preserve">Tải gói offline</t>
  </si>
  <si>
    <t xml:space="preserve">Tải gói offline và nghe khi tắt mạng</t>
  </si>
  <si>
    <t xml:space="preserve">UC19 đã xuất bản gói 'en' của tour</t>
  </si>
  <si>
    <t xml:space="preserve">1. App &gt; Tours &gt; Download tour
2. Chờ xong
3. Tắt mạng
4. Mở tour, nghe điểm</t>
  </si>
  <si>
    <t xml:space="preserve">Tải thành công, tour hiện trong mục đã tải, nghe được audio và xem ảnh khi tắt mạng</t>
  </si>
  <si>
    <t xml:space="preserve">Vương</t>
  </si>
  <si>
    <t xml:space="preserve">TC09-02</t>
  </si>
  <si>
    <t xml:space="preserve">Kiểm tra checksum</t>
  </si>
  <si>
    <t xml:space="preserve">Có gói offline</t>
  </si>
  <si>
    <t xml:space="preserve">1. Tải gói</t>
  </si>
  <si>
    <t xml:space="preserve">Checksum SHA-256 khớp, giải nén vào thư mục tour</t>
  </si>
  <si>
    <t xml:space="preserve">TC09-03</t>
  </si>
  <si>
    <t xml:space="preserve">Cập nhật gói mới (phiên bản cao hơn)</t>
  </si>
  <si>
    <t xml:space="preserve">Admin xuất bản lại gói v2</t>
  </si>
  <si>
    <t xml:space="preserve">1. Tải lại tour</t>
  </si>
  <si>
    <t xml:space="preserve">Gói cũ bị thay bằng v2; meta.json ghi version 2</t>
  </si>
  <si>
    <t xml:space="preserve">TC09-04</t>
  </si>
  <si>
    <t xml:space="preserve">Xóa gói đã tải</t>
  </si>
  <si>
    <t xml:space="preserve">Đã tải một tour</t>
  </si>
  <si>
    <t xml:space="preserve">1. Xóa tour offline</t>
  </si>
  <si>
    <t xml:space="preserve">Thư mục tour bị xóa; tour hết hiển thị trong mục offline</t>
  </si>
  <si>
    <t xml:space="preserve">TC09-05</t>
  </si>
  <si>
    <t xml:space="preserve">Tour chưa có gói offline</t>
  </si>
  <si>
    <t xml:space="preserve">Tour chưa xuất bản gói</t>
  </si>
  <si>
    <t xml:space="preserve">1. Bấm Download</t>
  </si>
  <si>
    <t xml:space="preserve">Báo 'Tour chưa có gói offline' (404), không crash</t>
  </si>
  <si>
    <t xml:space="preserve">TC09-06</t>
  </si>
  <si>
    <t xml:space="preserve">Mất mạng giữa chừng khi tải</t>
  </si>
  <si>
    <t xml:space="preserve">Đang tải</t>
  </si>
  <si>
    <t xml:space="preserve">1. Tắt mạng khi đang tải</t>
  </si>
  <si>
    <t xml:space="preserve">Báo lỗi tải, không để lại gói hỏng</t>
  </si>
  <si>
    <t xml:space="preserve">TC09-07</t>
  </si>
  <si>
    <t xml:space="preserve">Gói bị sai checksum</t>
  </si>
  <si>
    <t xml:space="preserve">Sửa checksum trong CSDL (thử nghiệm)</t>
  </si>
  <si>
    <t xml:space="preserve">Báo 'sai checksum, vui lòng tải lại' và không cài gói</t>
  </si>
  <si>
    <t xml:space="preserve">TC09-08</t>
  </si>
  <si>
    <t xml:space="preserve">Tour đã bị ẩn nhưng vẫn gọi API gói</t>
  </si>
  <si>
    <t xml:space="preserve">Admin ẩn tour; gọi GET /api/tours/{id}/package</t>
  </si>
  <si>
    <t xml:space="preserve">1. Gọi API bằng trình duyệt</t>
  </si>
  <si>
    <t xml:space="preserve">Dự kiến: không phát hành gói nữa (xem README UC18 A2) – kiểm tra thực tế</t>
  </si>
  <si>
    <t xml:space="preserve">TC10-01</t>
  </si>
  <si>
    <t xml:space="preserve">UC10</t>
  </si>
  <si>
    <t xml:space="preserve">Thông báo khu vực (app)</t>
  </si>
  <si>
    <t xml:space="preserve">Nhận thông báo khẩn khi app đang mở</t>
  </si>
  <si>
    <t xml:space="preserve">Admin tạo thông báo mức Khẩn (UC20)</t>
  </si>
  <si>
    <t xml:space="preserve">1. Mở app, chờ tối đa 2 phút hoặc kéo làm mới</t>
  </si>
  <si>
    <t xml:space="preserve">Hiện thông báo ngay, không cần vị trí</t>
  </si>
  <si>
    <t xml:space="preserve">TC10-02</t>
  </si>
  <si>
    <t xml:space="preserve">Thông báo thường hiện khi vào vùng</t>
  </si>
  <si>
    <t xml:space="preserve">Có thông báo thường bán kính 100 m</t>
  </si>
  <si>
    <t xml:space="preserve">1. Giả lập vị trí vào vùng</t>
  </si>
  <si>
    <t xml:space="preserve">Thông báo hiện một lần khi vào vùng</t>
  </si>
  <si>
    <t xml:space="preserve">TC10-03</t>
  </si>
  <si>
    <t xml:space="preserve">Xem danh sách thông báo</t>
  </si>
  <si>
    <t xml:space="preserve">Có thông báo đang hiệu lực</t>
  </si>
  <si>
    <t xml:space="preserve">1. Mở màn hình Thông báo
2. Kéo làm mới</t>
  </si>
  <si>
    <t xml:space="preserve">Danh sách khớp Admin, hiện khoảng cách tới vùng nếu có vị trí; đúng ngôn ngữ đã chọn</t>
  </si>
  <si>
    <t xml:space="preserve">TC10-04</t>
  </si>
  <si>
    <t xml:space="preserve">Từ chối quyền thông báo/vị trí</t>
  </si>
  <si>
    <t xml:space="preserve">Từ chối quyền</t>
  </si>
  <si>
    <t xml:space="preserve">1. Mở màn hình Thông báo</t>
  </si>
  <si>
    <t xml:space="preserve">Vẫn xem được danh sách (E1), không hiện khoảng cách</t>
  </si>
  <si>
    <t xml:space="preserve">TC10-05</t>
  </si>
  <si>
    <t xml:space="preserve">Thông báo hết hạn</t>
  </si>
  <si>
    <t xml:space="preserve">Chờ thông báo hết KetThuc hoặc bấm Kết thúc ở Admin</t>
  </si>
  <si>
    <t xml:space="preserve">1. Làm mới</t>
  </si>
  <si>
    <t xml:space="preserve">Thông báo biến mất</t>
  </si>
  <si>
    <t xml:space="preserve">TC10-06</t>
  </si>
  <si>
    <t xml:space="preserve">Không đưa lại thông báo đã xem</t>
  </si>
  <si>
    <t xml:space="preserve">Đã xem một thông báo</t>
  </si>
  <si>
    <t xml:space="preserve">1. Thoát vào lại vùng</t>
  </si>
  <si>
    <t xml:space="preserve">Không bật popup lần nữa</t>
  </si>
  <si>
    <t xml:space="preserve">TC10-07</t>
  </si>
  <si>
    <t xml:space="preserve">Sửa nội dung thông báo đã xem</t>
  </si>
  <si>
    <t xml:space="preserve">Thông báo X đã xem; Admin sửa nội dung</t>
  </si>
  <si>
    <t xml:space="preserve">1. Làm mới app</t>
  </si>
  <si>
    <t xml:space="preserve">Kiểm tra: người dùng có biết nội dung đã đổi không (nghi: không, vì id không đổi)</t>
  </si>
  <si>
    <t xml:space="preserve">TC11-01</t>
  </si>
  <si>
    <t xml:space="preserve">UC11</t>
  </si>
  <si>
    <t xml:space="preserve">Lịch sử, đánh giá</t>
  </si>
  <si>
    <t xml:space="preserve">Lịch sử sau khi nghe</t>
  </si>
  <si>
    <t xml:space="preserve">Đã nghe 2 điểm</t>
  </si>
  <si>
    <t xml:space="preserve">1. Mở tab Lịch sử</t>
  </si>
  <si>
    <t xml:space="preserve">2 điểm theo thứ tự mới nhất trước, có giờ và ngôn ngữ</t>
  </si>
  <si>
    <t xml:space="preserve">TC11-02</t>
  </si>
  <si>
    <t xml:space="preserve">Đánh giá 1-5 sao kèm nhận xét</t>
  </si>
  <si>
    <t xml:space="preserve">1. Mở điểm
2. Bấm đánh giá
3. Chọn 4 sao, nhập nhận xét
4. Gửi</t>
  </si>
  <si>
    <t xml:space="preserve">Lưu thành công, Admin &gt; Thống kê &gt; điểm đó thấy đánh giá</t>
  </si>
  <si>
    <t xml:space="preserve">TC11-03</t>
  </si>
  <si>
    <t xml:space="preserve">Sửa đánh giá cũ</t>
  </si>
  <si>
    <t xml:space="preserve">Đã đánh giá điểm A</t>
  </si>
  <si>
    <t xml:space="preserve">1. Đánh giá lại 5 sao</t>
  </si>
  <si>
    <t xml:space="preserve">Ghi đè đánh giá cũ (mỗi thiết bị 1 đánh giá/điểm), không tạo bản thứ hai</t>
  </si>
  <si>
    <t xml:space="preserve">TC11-04</t>
  </si>
  <si>
    <t xml:space="preserve">Gửi khi chưa chọn sao</t>
  </si>
  <si>
    <t xml:space="preserve">1. Mở hộp thoại
2. Gửi ngay</t>
  </si>
  <si>
    <t xml:space="preserve">Báo 'Vui lòng chọn số sao'</t>
  </si>
  <si>
    <t xml:space="preserve">TC11-05</t>
  </si>
  <si>
    <t xml:space="preserve">Nhận xét quá 500 ký tự</t>
  </si>
  <si>
    <t xml:space="preserve">1. Nhập &gt; 500 ký tự</t>
  </si>
  <si>
    <t xml:space="preserve">Bị chặn ở ô nhập hoặc báo lỗi</t>
  </si>
  <si>
    <t xml:space="preserve">TC11-06</t>
  </si>
  <si>
    <t xml:space="preserve">Đánh giá khi mất mạng</t>
  </si>
  <si>
    <t xml:space="preserve">Backend đang chạy; app đã chọn ngôn ngữ; tắt mạng</t>
  </si>
  <si>
    <t xml:space="preserve">1. Gửi đánh giá
2. Bật mạng lại, mở lại app</t>
  </si>
  <si>
    <t xml:space="preserve">Hiện 'đã lưu offline'; sau khi có mạng, đánh giá được gửi lên</t>
  </si>
  <si>
    <t xml:space="preserve">TC11-07</t>
  </si>
  <si>
    <t xml:space="preserve">Lịch sử quá 100 mục</t>
  </si>
  <si>
    <t xml:space="preserve">Nghe &gt; 100 điểm khác nhau (có thể bỏ qua)</t>
  </si>
  <si>
    <t xml:space="preserve">1. Xem lịch sử</t>
  </si>
  <si>
    <t xml:space="preserve">Chỉ giữ 100 mục mới nhất</t>
  </si>
  <si>
    <t xml:space="preserve">TC12-01</t>
  </si>
  <si>
    <t xml:space="preserve">UC12</t>
  </si>
  <si>
    <t xml:space="preserve">Đăng nhập, đổi mật khẩu</t>
  </si>
  <si>
    <t xml:space="preserve">Đăng nhập đúng</t>
  </si>
  <si>
    <t xml:space="preserve">Mở /admin và nhập admin@campusguide.local / Admin@123</t>
  </si>
  <si>
    <t xml:space="preserve">1. Nhập đúng email/mật khẩu</t>
  </si>
  <si>
    <t xml:space="preserve">Vào trang Admin</t>
  </si>
  <si>
    <t xml:space="preserve">Thắng</t>
  </si>
  <si>
    <t xml:space="preserve">TC12-02</t>
  </si>
  <si>
    <t xml:space="preserve">Sai mật khẩu nhiều lần</t>
  </si>
  <si>
    <t xml:space="preserve">Tài khoản btv</t>
  </si>
  <si>
    <t xml:space="preserve">1. Nhập sai mật khẩu 5 lần liên tiếp</t>
  </si>
  <si>
    <t xml:space="preserve">Mỗi lần báo sai; lần thứ 5 khóa tạm 15 phút, sau đó có báo 'Tài khoản tạm khóa… thử lại sau HH:mm'</t>
  </si>
  <si>
    <t xml:space="preserve">TC12-03</t>
  </si>
  <si>
    <t xml:space="preserve">Đổi mật khẩu</t>
  </si>
  <si>
    <t xml:space="preserve">Đã đăng nhập</t>
  </si>
  <si>
    <t xml:space="preserve">1. Đổi mật khẩu sang mật khẩu hợp lệ
2. Đăng xuất, đăng nhập lại</t>
  </si>
  <si>
    <t xml:space="preserve">Đăng nhập được bằng mật khẩu mới</t>
  </si>
  <si>
    <t xml:space="preserve">TC13-01</t>
  </si>
  <si>
    <t xml:space="preserve">UC13</t>
  </si>
  <si>
    <t xml:space="preserve">Quản lý điểm</t>
  </si>
  <si>
    <t xml:space="preserve">Thêm/sửa điểm</t>
  </si>
  <si>
    <t xml:space="preserve">Đăng nhập admin@campusguide.local / Admin@123</t>
  </si>
  <si>
    <t xml:space="preserve">1. Điểm thuyết minh &gt; Thêm
2. Nhập tên, tọa độ, loại, ảnh
3. Lưu</t>
  </si>
  <si>
    <t xml:space="preserve">Điểm hiện trong danh sách</t>
  </si>
  <si>
    <t xml:space="preserve">TC13-02</t>
  </si>
  <si>
    <t xml:space="preserve">Xuất bản / ẩn điểm</t>
  </si>
  <si>
    <t xml:space="preserve">Có điểm nháp</t>
  </si>
  <si>
    <t xml:space="preserve">1. Xuất bản
2. Mở app</t>
  </si>
  <si>
    <t xml:space="preserve">Điểm hiện trong app; ẩn thì biến mất</t>
  </si>
  <si>
    <t xml:space="preserve">TC14-01</t>
  </si>
  <si>
    <t xml:space="preserve">UC14</t>
  </si>
  <si>
    <t xml:space="preserve">Mã QR</t>
  </si>
  <si>
    <t xml:space="preserve">In mã QR</t>
  </si>
  <si>
    <t xml:space="preserve">1. Mở Mã QR của điểm
2. Mở QrSheet</t>
  </si>
  <si>
    <t xml:space="preserve">QR hiển thị; quét ra đúng điểm</t>
  </si>
  <si>
    <t xml:space="preserve">TC15-01</t>
  </si>
  <si>
    <t xml:space="preserve">UC15</t>
  </si>
  <si>
    <t xml:space="preserve">Nội dung gốc</t>
  </si>
  <si>
    <t xml:space="preserve">Nhập nội dung gốc tiếng Việt</t>
  </si>
  <si>
    <t xml:space="preserve">1. Sửa nội dung gốc
2. Lưu</t>
  </si>
  <si>
    <t xml:space="preserve">Lưu thành công; sinh audio gốc</t>
  </si>
  <si>
    <t xml:space="preserve">TC16-01</t>
  </si>
  <si>
    <t xml:space="preserve">UC16</t>
  </si>
  <si>
    <t xml:space="preserve">Dịch + sinh audio</t>
  </si>
  <si>
    <t xml:space="preserve">Dịch tất cả điểm</t>
  </si>
  <si>
    <t xml:space="preserve">1. Điểm thuyết minh &gt; Dịch tất cả điểm</t>
  </si>
  <si>
    <t xml:space="preserve">Các ngôn ngữ có bản dịch (DEMO: dạng [en] ...) và audio</t>
  </si>
  <si>
    <t xml:space="preserve">TC17-01</t>
  </si>
  <si>
    <t xml:space="preserve">UC17</t>
  </si>
  <si>
    <t xml:space="preserve">Duyệt bản dịch</t>
  </si>
  <si>
    <t xml:space="preserve">1. Duyệt bản dịch &gt; Nghe thử &gt; Duyệt</t>
  </si>
  <si>
    <t xml:space="preserve">Trạng thái chuyển Đã duyệt; app chỉ nhận bản đã duyệt</t>
  </si>
  <si>
    <t xml:space="preserve">TC18-01</t>
  </si>
  <si>
    <t xml:space="preserve">UC18</t>
  </si>
  <si>
    <t xml:space="preserve">Quản lý tour</t>
  </si>
  <si>
    <t xml:space="preserve">Tạo tour hợp lệ</t>
  </si>
  <si>
    <t xml:space="preserve">Đăng nhập admin@campusguide.local / Admin@123; có ≥ 2 điểm đã xuất bản</t>
  </si>
  <si>
    <t xml:space="preserve">1. Tour &amp; gói offline &gt; Thêm tour
2. Nhập tên, mô tả, chọn 3 điểm theo thứ tự
3. Lưu</t>
  </si>
  <si>
    <t xml:space="preserve">Tour mới ở trạng thái Nháp; có quãng đường và thời lượng tự tính</t>
  </si>
  <si>
    <t xml:space="preserve">TC18-02</t>
  </si>
  <si>
    <t xml:space="preserve">Xuất bản tour để hiện trong app</t>
  </si>
  <si>
    <t xml:space="preserve">Tour nháp</t>
  </si>
  <si>
    <t xml:space="preserve">1. Bấm Xuất bản
2. Mở app &gt; Tours</t>
  </si>
  <si>
    <t xml:space="preserve">Tour hiện trong app</t>
  </si>
  <si>
    <t xml:space="preserve">TC18-03</t>
  </si>
  <si>
    <t xml:space="preserve">Sửa tour (đổi thứ tự điểm)</t>
  </si>
  <si>
    <t xml:space="preserve">Tour đã có gói offline</t>
  </si>
  <si>
    <t xml:space="preserve">1. Sửa, đổi thứ tự
2. Lưu</t>
  </si>
  <si>
    <t xml:space="preserve">Lưu được; tour được đánh dấu cần xuất bản lại gói offline (A1)</t>
  </si>
  <si>
    <t xml:space="preserve">TC18-04</t>
  </si>
  <si>
    <t xml:space="preserve">Ẩn tour</t>
  </si>
  <si>
    <t xml:space="preserve">Tour đã xuất bản</t>
  </si>
  <si>
    <t xml:space="preserve">1. Bấm Ẩn</t>
  </si>
  <si>
    <t xml:space="preserve">Tour biến mất khỏi app và danh sách Admin</t>
  </si>
  <si>
    <t xml:space="preserve">TC18-05</t>
  </si>
  <si>
    <t xml:space="preserve">Tour chỉ 1 điểm</t>
  </si>
  <si>
    <t xml:space="preserve">Đang tạo tour</t>
  </si>
  <si>
    <t xml:space="preserve">1. Chọn 1 điểm, Lưu</t>
  </si>
  <si>
    <t xml:space="preserve">Báo 'Tour cần ít nhất 2 điểm' (E1)</t>
  </si>
  <si>
    <t xml:space="preserve">TC18-06</t>
  </si>
  <si>
    <t xml:space="preserve">Tour có điểm chưa xuất bản</t>
  </si>
  <si>
    <t xml:space="preserve">Có điểm Nháp</t>
  </si>
  <si>
    <t xml:space="preserve">1. Thêm điểm nháp vào tour, Lưu</t>
  </si>
  <si>
    <t xml:space="preserve">Báo các điểm chưa xuất bản (E2)</t>
  </si>
  <si>
    <t xml:space="preserve">TC18-07</t>
  </si>
  <si>
    <t xml:space="preserve">Tour &gt; 30 điểm</t>
  </si>
  <si>
    <t xml:space="preserve">Cần ≥ 31 điểm đã xuất bản (có thể bỏ qua)</t>
  </si>
  <si>
    <t xml:space="preserve">1. Chọn 31 điểm</t>
  </si>
  <si>
    <t xml:space="preserve">Báo tối đa 30 điểm</t>
  </si>
  <si>
    <t xml:space="preserve">TC18-08</t>
  </si>
  <si>
    <t xml:space="preserve">Bỏ trống tên tour</t>
  </si>
  <si>
    <t xml:space="preserve">1. Lưu khi chưa nhập tên</t>
  </si>
  <si>
    <t xml:space="preserve">Báo bắt buộc nhập tên</t>
  </si>
  <si>
    <t xml:space="preserve">TC19-01</t>
  </si>
  <si>
    <t xml:space="preserve">UC19</t>
  </si>
  <si>
    <t xml:space="preserve">Gói offline (Admin)</t>
  </si>
  <si>
    <t xml:space="preserve">Xuất bản gói offline ngôn ngữ en</t>
  </si>
  <si>
    <t xml:space="preserve">Tour đã xuất bản; mọi điểm có bản dịch đã duyệt và audio</t>
  </si>
  <si>
    <t xml:space="preserve">1. Tour &gt; Gói offline
2. Chọn en
3. Xuất bản</t>
  </si>
  <si>
    <t xml:space="preserve">Báo 'en v1 (… KB)'; hiện trong danh sách gói; app tải được</t>
  </si>
  <si>
    <t xml:space="preserve">TC19-02</t>
  </si>
  <si>
    <t xml:space="preserve">Bảng sẵn sàng theo ngôn ngữ</t>
  </si>
  <si>
    <t xml:space="preserve">Một vài điểm thiếu bản dịch</t>
  </si>
  <si>
    <t xml:space="preserve">1. Mở trang Gói offline</t>
  </si>
  <si>
    <t xml:space="preserve">Hiện số điểm sẵn sàng/tổng và danh sách điểm còn thiếu mỗi ngôn ngữ</t>
  </si>
  <si>
    <t xml:space="preserve">TC19-03</t>
  </si>
  <si>
    <t xml:space="preserve">Xuất bản lại → tăng phiên bản</t>
  </si>
  <si>
    <t xml:space="preserve">Đã có en v1</t>
  </si>
  <si>
    <t xml:space="preserve">1. Xuất bản en lần nữa</t>
  </si>
  <si>
    <t xml:space="preserve">Có en v2; chỉ giữ 2 phiên bản gần nhất (v1 bị xóa khi có v3)</t>
  </si>
  <si>
    <t xml:space="preserve">TC19-04</t>
  </si>
  <si>
    <t xml:space="preserve">Cho phép dùng ngôn ngữ dự phòng</t>
  </si>
  <si>
    <t xml:space="preserve">Thiếu bản dịch ở 1 điểm</t>
  </si>
  <si>
    <t xml:space="preserve">1. Tick 'allow fallback'
2. Xuất bản</t>
  </si>
  <si>
    <t xml:space="preserve">Thành công; điểm thiếu dùng ngôn ngữ dự phòng</t>
  </si>
  <si>
    <t xml:space="preserve">TC19-05</t>
  </si>
  <si>
    <t xml:space="preserve">Thiếu bản dịch, không fallback</t>
  </si>
  <si>
    <t xml:space="preserve">1. Xuất bản en, không tick fallback</t>
  </si>
  <si>
    <t xml:space="preserve">Báo lỗi liệt kê các điểm thiếu (E1)</t>
  </si>
  <si>
    <t xml:space="preserve">TC19-06</t>
  </si>
  <si>
    <t xml:space="preserve">Tour chưa xuất bản</t>
  </si>
  <si>
    <t xml:space="preserve">Tour Nháp</t>
  </si>
  <si>
    <t xml:space="preserve">1. Xuất bản gói</t>
  </si>
  <si>
    <t xml:space="preserve">Báo 'Tour chưa được xuất bản (UC18)'</t>
  </si>
  <si>
    <t xml:space="preserve">TC19-07</t>
  </si>
  <si>
    <t xml:space="preserve">Không chọn ngôn ngữ nào</t>
  </si>
  <si>
    <t xml:space="preserve">1. Bấm Xuất bản khi chưa chọn</t>
  </si>
  <si>
    <t xml:space="preserve">Báo 'Chọn ít nhất một ngôn ngữ'</t>
  </si>
  <si>
    <t xml:space="preserve">TC19-08</t>
  </si>
  <si>
    <t xml:space="preserve">Xuất bản nhiều ngôn ngữ, một ngôn ngữ lỗi</t>
  </si>
  <si>
    <t xml:space="preserve">Thiếu bản dịch ở ngôn ngữ ja</t>
  </si>
  <si>
    <t xml:space="preserve">1. Chọn en và ja, Xuất bản</t>
  </si>
  <si>
    <t xml:space="preserve">en thành công, ja báo lỗi, hai thông báo cùng hiện</t>
  </si>
  <si>
    <t xml:space="preserve">TC20-01</t>
  </si>
  <si>
    <t xml:space="preserve">UC20</t>
  </si>
  <si>
    <t xml:space="preserve">Thông báo (Admin)</t>
  </si>
  <si>
    <t xml:space="preserve">Tạo thông báo thường</t>
  </si>
  <si>
    <t xml:space="preserve">1. Thông báo khu vực &gt; Thêm
2. Nhập tiêu đề, nội dung, tọa độ, bán kính 100, mức Thường, thời gian
3. Lưu</t>
  </si>
  <si>
    <t xml:space="preserve">Lưu thành công; sinh bản dịch cho các ngôn ngữ đang bật</t>
  </si>
  <si>
    <t xml:space="preserve">TC20-02</t>
  </si>
  <si>
    <t xml:space="preserve">Tạo thông báo Khẩn</t>
  </si>
  <si>
    <t xml:space="preserve">Chưa cấu hình Firebase</t>
  </si>
  <si>
    <t xml:space="preserve">1. Tạo thông báo mức Khẩn</t>
  </si>
  <si>
    <t xml:space="preserve">Lưu, báo 'chưa cấu hình Firebase – app sẽ nhận khi mở lại'; app hiện thông báo</t>
  </si>
  <si>
    <t xml:space="preserve">TC20-03</t>
  </si>
  <si>
    <t xml:space="preserve">Kết thúc sớm</t>
  </si>
  <si>
    <t xml:space="preserve">Thông báo đang hiệu lực</t>
  </si>
  <si>
    <t xml:space="preserve">1. Bấm Kết thúc</t>
  </si>
  <si>
    <t xml:space="preserve">KetThuc = hiện tại; app không còn thấy</t>
  </si>
  <si>
    <t xml:space="preserve">TC20-04</t>
  </si>
  <si>
    <t xml:space="preserve">Sửa thông báo đang hiệu lực</t>
  </si>
  <si>
    <t xml:space="preserve">Thông báo còn hạn</t>
  </si>
  <si>
    <t xml:space="preserve">1. Sửa nội dung
2. Lưu</t>
  </si>
  <si>
    <t xml:space="preserve">Cập nhật và dịch lại; với mức Khẩn kiểm tra có gửi push lặp lại không</t>
  </si>
  <si>
    <t xml:space="preserve">TC20-05</t>
  </si>
  <si>
    <t xml:space="preserve">Sửa thông báo đã hết hạn</t>
  </si>
  <si>
    <t xml:space="preserve">Có thông báo hết hạn</t>
  </si>
  <si>
    <t xml:space="preserve">1. Bấm Sửa</t>
  </si>
  <si>
    <t xml:space="preserve">Báo 'đã hết hạn, không sửa được'</t>
  </si>
  <si>
    <t xml:space="preserve">TC20-06</t>
  </si>
  <si>
    <t xml:space="preserve">Kết thúc trước bắt đầu</t>
  </si>
  <si>
    <t xml:space="preserve">1. Đặt KetThuc ≤ BatDau, Lưu</t>
  </si>
  <si>
    <t xml:space="preserve">Báo thời gian kết thúc phải sau bắt đầu</t>
  </si>
  <si>
    <t xml:space="preserve">TC20-07</t>
  </si>
  <si>
    <t xml:space="preserve">Hiệu lực &gt; 30 ngày</t>
  </si>
  <si>
    <t xml:space="preserve">1. Đặt khoảng &gt; 30 ngày</t>
  </si>
  <si>
    <t xml:space="preserve">Báo 'Hiệu lực tối đa 30 ngày'</t>
  </si>
  <si>
    <t xml:space="preserve">TC20-08</t>
  </si>
  <si>
    <t xml:space="preserve">Bán kính ngoài 20–1000 m</t>
  </si>
  <si>
    <t xml:space="preserve">1. Nhập 10 rồi 2000</t>
  </si>
  <si>
    <t xml:space="preserve">Báo 'Bán kính từ 20 đến 1.000 m'</t>
  </si>
  <si>
    <t xml:space="preserve">TC20-09</t>
  </si>
  <si>
    <t xml:space="preserve">Chưa chọn vị trí</t>
  </si>
  <si>
    <t xml:space="preserve">1. Lưu khi chưa chọn tọa độ</t>
  </si>
  <si>
    <t xml:space="preserve">Báo 'Vẽ vùng trên bản đồ'</t>
  </si>
  <si>
    <t xml:space="preserve">TC20-10</t>
  </si>
  <si>
    <t xml:space="preserve">Dịch lỗi / push lỗi</t>
  </si>
  <si>
    <t xml:space="preserve">Mô phỏng lỗi dịch (có thể bỏ qua)</t>
  </si>
  <si>
    <t xml:space="preserve">1. Lưu thông báo</t>
  </si>
  <si>
    <t xml:space="preserve">Vẫn lưu thông báo, hiện cảnh báo lỗi dịch (E2)</t>
  </si>
  <si>
    <t xml:space="preserve">TC21-01</t>
  </si>
  <si>
    <t xml:space="preserve">UC21</t>
  </si>
  <si>
    <t xml:space="preserve">Tài khoản, phân quyền</t>
  </si>
  <si>
    <t xml:space="preserve">Tạo tài khoản biên tập viên</t>
  </si>
  <si>
    <t xml:space="preserve">1. Tài khoản &gt; Thêm
2. Nhập họ tên, email mới, vai trò BTV
3. Lưu</t>
  </si>
  <si>
    <t xml:space="preserve">Hiện mật khẩu tạm; đăng nhập được bằng mật khẩu đó</t>
  </si>
  <si>
    <t xml:space="preserve">TC21-02</t>
  </si>
  <si>
    <t xml:space="preserve">Phân quyền BTV không vào được Tài khoản/Thống kê</t>
  </si>
  <si>
    <t xml:space="preserve">Đăng nhập btv@campusguide.local / Btv@1234</t>
  </si>
  <si>
    <t xml:space="preserve">1. Mở /admin/Users và /admin/Stats</t>
  </si>
  <si>
    <t xml:space="preserve">Bị từ chối (trang Denied) – chỉ Quản trị viên được vào</t>
  </si>
  <si>
    <t xml:space="preserve">TC21-03</t>
  </si>
  <si>
    <t xml:space="preserve">Khóa và mở khóa tài khoản</t>
  </si>
  <si>
    <t xml:space="preserve">Có tài khoản btv</t>
  </si>
  <si>
    <t xml:space="preserve">1. Khóa btv
2. Đăng nhập thử bằng btv
3. Mở khóa</t>
  </si>
  <si>
    <t xml:space="preserve">Khi khóa không đăng nhập được; mở khóa đăng nhập lại được</t>
  </si>
  <si>
    <t xml:space="preserve">TC21-04</t>
  </si>
  <si>
    <t xml:space="preserve">Đặt lại mật khẩu</t>
  </si>
  <si>
    <t xml:space="preserve">1. Đặt lại mật khẩu
2. Đăng nhập bằng mật khẩu tạm</t>
  </si>
  <si>
    <t xml:space="preserve">Đăng nhập được; mật khẩu cũ không còn dùng</t>
  </si>
  <si>
    <t xml:space="preserve">TC21-05</t>
  </si>
  <si>
    <t xml:space="preserve">Email trùng</t>
  </si>
  <si>
    <t xml:space="preserve">1. Tạo tài khoản với email đã có</t>
  </si>
  <si>
    <t xml:space="preserve">Báo 'Email đã được sử dụng' (E1)</t>
  </si>
  <si>
    <t xml:space="preserve">TC21-06</t>
  </si>
  <si>
    <t xml:space="preserve">Email sai định dạng</t>
  </si>
  <si>
    <t xml:space="preserve">1. Nhập 'abc'</t>
  </si>
  <si>
    <t xml:space="preserve">Báo 'Email không hợp lệ'</t>
  </si>
  <si>
    <t xml:space="preserve">TC21-07</t>
  </si>
  <si>
    <t xml:space="preserve">Hạ vai trò / khóa Quản trị viên cuối cùng</t>
  </si>
  <si>
    <t xml:space="preserve">Chỉ còn 1 admin hoạt động</t>
  </si>
  <si>
    <t xml:space="preserve">1. Đổi vai trò admin sang BTV
2. Khóa admin</t>
  </si>
  <si>
    <t xml:space="preserve">Cả hai bị chặn (E3)</t>
  </si>
  <si>
    <t xml:space="preserve">TC21-08</t>
  </si>
  <si>
    <t xml:space="preserve">Tự khóa chính mình</t>
  </si>
  <si>
    <t xml:space="preserve">1. Khóa tài khoản admin đang đăng nhập</t>
  </si>
  <si>
    <t xml:space="preserve">Bị chặn</t>
  </si>
  <si>
    <t xml:space="preserve">TC21-09</t>
  </si>
  <si>
    <t xml:space="preserve">Đang đăng nhập thì bị khóa</t>
  </si>
  <si>
    <t xml:space="preserve">btv đang đăng nhập ở trình duyệt khác</t>
  </si>
  <si>
    <t xml:space="preserve">1. Admin khóa btv
2. btv bấm sang trang khác</t>
  </si>
  <si>
    <t xml:space="preserve">Kỳ vọng: btv bị chặn ngay. Mã hiện tại: cookie đăng nhập không được kiểm tra lại trạng thái nên có thể vẫn vào được – xác nhận khi test</t>
  </si>
  <si>
    <t xml:space="preserve">TC22-01</t>
  </si>
  <si>
    <t xml:space="preserve">UC22</t>
  </si>
  <si>
    <t xml:space="preserve">Ngôn ngữ, giọng đọc</t>
  </si>
  <si>
    <t xml:space="preserve">Bật/tắt ngôn ngữ</t>
  </si>
  <si>
    <t xml:space="preserve">1. Ngôn ngữ &gt; thêm hoặc tắt một ngôn ngữ</t>
  </si>
  <si>
    <t xml:space="preserve">Danh sách ngôn ngữ trong app thay đổi tương ứng</t>
  </si>
  <si>
    <t xml:space="preserve">TC23-01</t>
  </si>
  <si>
    <t xml:space="preserve">UC23</t>
  </si>
  <si>
    <t xml:space="preserve">Thuật ngữ</t>
  </si>
  <si>
    <t xml:space="preserve">Thêm thuật ngữ</t>
  </si>
  <si>
    <t xml:space="preserve">1. Thuật ngữ &gt; Thêm một thuật ngữ trường
2. Dịch lại một điểm</t>
  </si>
  <si>
    <t xml:space="preserve">Thuật ngữ được dịch đúng theo bảng</t>
  </si>
  <si>
    <t xml:space="preserve">TC24-01</t>
  </si>
  <si>
    <t xml:space="preserve">UC24</t>
  </si>
  <si>
    <t xml:space="preserve">Thống kê, xuất Excel</t>
  </si>
  <si>
    <t xml:space="preserve">Xem thống kê mặc định</t>
  </si>
  <si>
    <t xml:space="preserve">Đăng nhập admin@campusguide.local / Admin@123; đã có vài lượt nghe</t>
  </si>
  <si>
    <t xml:space="preserve">1. Mở Thống kê</t>
  </si>
  <si>
    <t xml:space="preserve">Hiện tổng lượt nghe, quét QR, số thiết bị, điểm TB, biểu đồ theo ngày/ngôn ngữ/nguồn, top điểm</t>
  </si>
  <si>
    <t xml:space="preserve">TC24-02</t>
  </si>
  <si>
    <t xml:space="preserve">Lọc theo điểm, ngôn ngữ, nguồn</t>
  </si>
  <si>
    <t xml:space="preserve">1. Chọn lần lượt một điểm / ngôn ngữ / nguồn</t>
  </si>
  <si>
    <t xml:space="preserve">Số liệu thay đổi đúng bộ lọc; điểm đánh giá TB cũng nên theo bộ lọc</t>
  </si>
  <si>
    <t xml:space="preserve">TC24-03</t>
  </si>
  <si>
    <t xml:space="preserve">Xuất Excel</t>
  </si>
  <si>
    <t xml:space="preserve">Có dữ liệu</t>
  </si>
  <si>
    <t xml:space="preserve">1. Bấm Xuất Excel
2. Mở file</t>
  </si>
  <si>
    <t xml:space="preserve">File ThongKe_yyyyMMdd_yyyyMMdd.xlsx có 5 sheet (Tong quan, Theo diem, Theo ngay, Theo ngon ngu, Theo nguon); số khớp màn hình</t>
  </si>
  <si>
    <t xml:space="preserve">TC24-04</t>
  </si>
  <si>
    <t xml:space="preserve">Xem chi tiết một điểm</t>
  </si>
  <si>
    <t xml:space="preserve">Điểm có đánh giá</t>
  </si>
  <si>
    <t xml:space="preserve">1. Bấm điểm trong Top điểm</t>
  </si>
  <si>
    <t xml:space="preserve">Hiện lượt nghe theo ngôn ngữ và danh sách đánh giá mới nhất trước</t>
  </si>
  <si>
    <t xml:space="preserve">TC24-05</t>
  </si>
  <si>
    <t xml:space="preserve">Từ ngày sau đến ngày</t>
  </si>
  <si>
    <t xml:space="preserve">1. Đặt From &gt; To</t>
  </si>
  <si>
    <t xml:space="preserve">Báo khoảng thời gian không hợp lệ (E2), quay về mặc định</t>
  </si>
  <si>
    <t xml:space="preserve">TC24-06</t>
  </si>
  <si>
    <t xml:space="preserve">Khoảng &gt; 1 năm</t>
  </si>
  <si>
    <t xml:space="preserve">1. Đặt khoảng &gt; 366 ngày</t>
  </si>
  <si>
    <t xml:space="preserve">Báo không hợp lệ (E2)</t>
  </si>
  <si>
    <t xml:space="preserve">TC24-07</t>
  </si>
  <si>
    <t xml:space="preserve">Không có dữ liệu trong kỳ</t>
  </si>
  <si>
    <t xml:space="preserve">Chọn kỳ chưa có lượt nghe</t>
  </si>
  <si>
    <t xml:space="preserve">1. Xem thống kê</t>
  </si>
  <si>
    <t xml:space="preserve">Hiện 0, không lỗi; điểm đánh giá TB là '-'</t>
  </si>
  <si>
    <t xml:space="preserve">TC24-08</t>
  </si>
  <si>
    <t xml:space="preserve">BTV truy cập Thống kê</t>
  </si>
  <si>
    <t xml:space="preserve">1. Mở /admin/Stats</t>
  </si>
  <si>
    <t xml:space="preserve">Bị từ chối</t>
  </si>
  <si>
    <t xml:space="preserve">TỔNG HỢP KẾT QUẢ KIỂM THỬ – CAMPUSGUIDE</t>
  </si>
  <si>
    <t xml:space="preserve">Cột Pass/Fail/... tự tính từ cột Trạng thái của sheet 'Test case'. Chỉ sửa ở sheet 'Test case'.</t>
  </si>
  <si>
    <t xml:space="preserve">Người phụ trách</t>
  </si>
  <si>
    <t xml:space="preserve">Tổng TC</t>
  </si>
  <si>
    <t xml:space="preserve">Pass</t>
  </si>
  <si>
    <t xml:space="preserve">Fail</t>
  </si>
  <si>
    <t xml:space="preserve">Blocked</t>
  </si>
  <si>
    <t xml:space="preserve">% Pass</t>
  </si>
  <si>
    <t xml:space="preserve">Số TC</t>
  </si>
  <si>
    <t xml:space="preserve">TỔNG</t>
  </si>
  <si>
    <t xml:space="preserve">Mã lỗi</t>
  </si>
  <si>
    <t xml:space="preserve">Mã TC liên quan</t>
  </si>
  <si>
    <t xml:space="preserve">Mô tả lỗi</t>
  </si>
  <si>
    <t xml:space="preserve">Mức độ</t>
  </si>
  <si>
    <t xml:space="preserve">Nguồn</t>
  </si>
  <si>
    <t xml:space="preserve">BUG-01</t>
  </si>
  <si>
    <t xml:space="preserve">Bộ lọc điểm/ngôn ngữ/nguồn không áp dụng cho điểm đánh giá trung bình (StatsService: truy vấn đánh giá chỉ lọc theo ngày).</t>
  </si>
  <si>
    <t xml:space="preserve">Trung bình</t>
  </si>
  <si>
    <t xml:space="preserve">Nghi vấn – cần xác minh khi chạy</t>
  </si>
  <si>
    <t xml:space="preserve">Đọc mã nguồn</t>
  </si>
  <si>
    <t xml:space="preserve">BUG-02</t>
  </si>
  <si>
    <t xml:space="preserve">API tải gói offline không kiểm tra trạng thái tour: tour đã ẩn vẫn tải được gói, trái với README (A2 'gói offline ngừng phát hành').</t>
  </si>
  <si>
    <t xml:space="preserve">Thắng (AppApiController) / Vương</t>
  </si>
  <si>
    <t xml:space="preserve">BUG-03</t>
  </si>
  <si>
    <t xml:space="preserve">Sau khi ẩn tour, Admin không còn thấy tour trong danh sách nên không bật lại được từ giao diện.</t>
  </si>
  <si>
    <t xml:space="preserve">Thấp</t>
  </si>
  <si>
    <t xml:space="preserve">BUG-04</t>
  </si>
  <si>
    <t xml:space="preserve">Sửa thông báo Khẩn gửi lại push cho toàn bộ thiết bị (mỗi lần Lưu).</t>
  </si>
  <si>
    <t xml:space="preserve">BUG-05</t>
  </si>
  <si>
    <t xml:space="preserve">App đánh dấu 'đã xem' theo id; thông báo được sửa nội dung nhưng id không đổi nên người dùng không thấy lại.</t>
  </si>
  <si>
    <t xml:space="preserve">Vương / Minh (app_state)</t>
  </si>
  <si>
    <t xml:space="preserve">BUG-06</t>
  </si>
  <si>
    <t xml:space="preserve">Push Khẩn gửi tới mọi thiết bị có token, không lọc theo bán kính vùng.</t>
  </si>
  <si>
    <t xml:space="preserve">Thấp (xác nhận có chủ ý không)</t>
  </si>
  <si>
    <t xml:space="preserve">BUG-07</t>
  </si>
  <si>
    <t xml:space="preserve">Cookie đăng nhập (Program.cs) không có OnValidatePrincipal: tài khoản bị khóa hoặc bị đổi/hạ vai trò vẫn dùng phiên cũ đến khi cookie hết hạn.</t>
  </si>
  <si>
    <t xml:space="preserve">Thắng (Account) / Vương</t>
  </si>
  <si>
    <t xml:space="preserve">Xác nhận qua đọc code – nên chạy TC21-09</t>
  </si>
  <si>
    <t xml:space="preserve">BUG-08</t>
  </si>
  <si>
    <t xml:space="preserve">Xuất bản gói với lang không tồn tại/tắt: First() ném lỗi 'Sequence contains no matching element', thông báo khó hiểu.</t>
  </si>
  <si>
    <t xml:space="preserve">BUG-09</t>
  </si>
  <si>
    <t xml:space="preserve">App giải nén zip chỉ bỏ '..' khỏi tên file; nên kiểm tra thêm đường dẫn tuyệt đối khi giải nén.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</si>
</sst>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15" hidden="false" customHeight="true" outlineLevel="0" collapsed="false">
      <c r="A6" s="3" t="s">
        <v>5</v>
      </c>
    </row>
    <row r="7" customFormat="false" ht="15" hidden="false" customHeight="true" outlineLevel="0" collapsed="false">
      <c r="A7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28"/>
    <col collapsed="false" customWidth="true" hidden="false" outlineLevel="0" max="7" min="7" style="1" width="38"/>
    <col collapsed="false" customWidth="true" hidden="false" outlineLevel="0" max="8" min="8" style="1" width="40"/>
    <col collapsed="false" customWidth="true" hidden="false" outlineLevel="0" max="9" min="9" style="1" width="12"/>
    <col collapsed="false" customWidth="true" hidden="false" outlineLevel="0" max="10" min="10" style="1" width="26"/>
    <col collapsed="false" customWidth="true" hidden="false" outlineLevel="0" max="12" min="11" style="1" width="11"/>
    <col collapsed="false" customWidth="true" hidden="false" outlineLevel="0" max="13" min="13" style="1" width="26"/>
  </cols>
  <sheetData>
    <row r="1" customFormat="false" ht="51.75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</row>
    <row r="2" customFormat="false" ht="23.25" hidden="false" customHeight="tru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/>
      <c r="K2" s="5" t="s">
        <v>29</v>
      </c>
      <c r="L2" s="5"/>
      <c r="M2" s="5"/>
    </row>
    <row r="3" customFormat="false" ht="23.25" hidden="false" customHeight="true" outlineLevel="0" collapsed="false">
      <c r="A3" s="5" t="s">
        <v>30</v>
      </c>
      <c r="B3" s="5" t="s">
        <v>21</v>
      </c>
      <c r="C3" s="5" t="s">
        <v>22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28</v>
      </c>
      <c r="J3" s="5"/>
      <c r="K3" s="5" t="s">
        <v>29</v>
      </c>
      <c r="L3" s="5"/>
      <c r="M3" s="5"/>
    </row>
    <row r="4" customFormat="false" ht="15" hidden="false" customHeight="true" outlineLevel="0" collapsed="false">
      <c r="A4" s="5" t="s">
        <v>36</v>
      </c>
      <c r="B4" s="5" t="s">
        <v>21</v>
      </c>
      <c r="C4" s="5" t="s">
        <v>22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28</v>
      </c>
      <c r="J4" s="5"/>
      <c r="K4" s="5" t="s">
        <v>29</v>
      </c>
      <c r="L4" s="5"/>
      <c r="M4" s="5"/>
    </row>
    <row r="5" customFormat="false" ht="34.5" hidden="false" customHeight="true" outlineLevel="0" collapsed="false">
      <c r="A5" s="5" t="s">
        <v>42</v>
      </c>
      <c r="B5" s="5" t="s">
        <v>43</v>
      </c>
      <c r="C5" s="5" t="s">
        <v>44</v>
      </c>
      <c r="D5" s="5" t="s">
        <v>23</v>
      </c>
      <c r="E5" s="5" t="s">
        <v>45</v>
      </c>
      <c r="F5" s="5" t="s">
        <v>33</v>
      </c>
      <c r="G5" s="5" t="s">
        <v>46</v>
      </c>
      <c r="H5" s="5" t="s">
        <v>47</v>
      </c>
      <c r="I5" s="5" t="s">
        <v>28</v>
      </c>
      <c r="J5" s="5"/>
      <c r="K5" s="5" t="s">
        <v>29</v>
      </c>
      <c r="L5" s="5"/>
      <c r="M5" s="5"/>
    </row>
    <row r="6" customFormat="false" ht="15" hidden="false" customHeight="true" outlineLevel="0" collapsed="false">
      <c r="A6" s="5" t="s">
        <v>48</v>
      </c>
      <c r="B6" s="5" t="s">
        <v>43</v>
      </c>
      <c r="C6" s="5" t="s">
        <v>44</v>
      </c>
      <c r="D6" s="5" t="s">
        <v>37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28</v>
      </c>
      <c r="J6" s="5"/>
      <c r="K6" s="5" t="s">
        <v>29</v>
      </c>
      <c r="L6" s="5"/>
      <c r="M6" s="5"/>
    </row>
    <row r="7" customFormat="false" ht="23.25" hidden="false" customHeight="true" outlineLevel="0" collapsed="false">
      <c r="A7" s="5" t="s">
        <v>53</v>
      </c>
      <c r="B7" s="5" t="s">
        <v>54</v>
      </c>
      <c r="C7" s="5" t="s">
        <v>55</v>
      </c>
      <c r="D7" s="5" t="s">
        <v>23</v>
      </c>
      <c r="E7" s="5" t="s">
        <v>56</v>
      </c>
      <c r="F7" s="5" t="s">
        <v>33</v>
      </c>
      <c r="G7" s="5" t="s">
        <v>57</v>
      </c>
      <c r="H7" s="5" t="s">
        <v>58</v>
      </c>
      <c r="I7" s="5" t="s">
        <v>28</v>
      </c>
      <c r="J7" s="5"/>
      <c r="K7" s="5" t="s">
        <v>29</v>
      </c>
      <c r="L7" s="5"/>
      <c r="M7" s="5"/>
    </row>
    <row r="8" customFormat="false" ht="23.25" hidden="false" customHeight="true" outlineLevel="0" collapsed="false">
      <c r="A8" s="5" t="s">
        <v>59</v>
      </c>
      <c r="B8" s="5" t="s">
        <v>54</v>
      </c>
      <c r="C8" s="5" t="s">
        <v>55</v>
      </c>
      <c r="D8" s="5" t="s">
        <v>37</v>
      </c>
      <c r="E8" s="5" t="s">
        <v>60</v>
      </c>
      <c r="F8" s="5" t="s">
        <v>33</v>
      </c>
      <c r="G8" s="5" t="s">
        <v>61</v>
      </c>
      <c r="H8" s="5" t="s">
        <v>62</v>
      </c>
      <c r="I8" s="5" t="s">
        <v>28</v>
      </c>
      <c r="J8" s="5"/>
      <c r="K8" s="5" t="s">
        <v>29</v>
      </c>
      <c r="L8" s="5"/>
      <c r="M8" s="5"/>
    </row>
    <row r="9" customFormat="false" ht="23.25" hidden="false" customHeight="true" outlineLevel="0" collapsed="false">
      <c r="A9" s="5" t="s">
        <v>63</v>
      </c>
      <c r="B9" s="5" t="s">
        <v>64</v>
      </c>
      <c r="C9" s="5" t="s">
        <v>65</v>
      </c>
      <c r="D9" s="5" t="s">
        <v>23</v>
      </c>
      <c r="E9" s="5" t="s">
        <v>66</v>
      </c>
      <c r="F9" s="5" t="s">
        <v>67</v>
      </c>
      <c r="G9" s="5" t="s">
        <v>68</v>
      </c>
      <c r="H9" s="5" t="s">
        <v>69</v>
      </c>
      <c r="I9" s="5" t="s">
        <v>28</v>
      </c>
      <c r="J9" s="5"/>
      <c r="K9" s="5" t="s">
        <v>29</v>
      </c>
      <c r="L9" s="5"/>
      <c r="M9" s="5"/>
    </row>
    <row r="10" customFormat="false" ht="15" hidden="false" customHeight="true" outlineLevel="0" collapsed="false">
      <c r="A10" s="5" t="s">
        <v>70</v>
      </c>
      <c r="B10" s="5" t="s">
        <v>64</v>
      </c>
      <c r="C10" s="5" t="s">
        <v>65</v>
      </c>
      <c r="D10" s="5" t="s">
        <v>37</v>
      </c>
      <c r="E10" s="5" t="s">
        <v>71</v>
      </c>
      <c r="F10" s="5" t="s">
        <v>72</v>
      </c>
      <c r="G10" s="5" t="s">
        <v>73</v>
      </c>
      <c r="H10" s="5" t="s">
        <v>74</v>
      </c>
      <c r="I10" s="5" t="s">
        <v>28</v>
      </c>
      <c r="J10" s="5"/>
      <c r="K10" s="5" t="s">
        <v>29</v>
      </c>
      <c r="L10" s="5"/>
      <c r="M10" s="5"/>
    </row>
    <row r="11" customFormat="false" ht="23.25" hidden="false" customHeight="true" outlineLevel="0" collapsed="false">
      <c r="A11" s="5" t="s">
        <v>75</v>
      </c>
      <c r="B11" s="5" t="s">
        <v>76</v>
      </c>
      <c r="C11" s="5" t="s">
        <v>77</v>
      </c>
      <c r="D11" s="5" t="s">
        <v>23</v>
      </c>
      <c r="E11" s="5" t="s">
        <v>78</v>
      </c>
      <c r="F11" s="5" t="s">
        <v>79</v>
      </c>
      <c r="G11" s="5" t="s">
        <v>80</v>
      </c>
      <c r="H11" s="5" t="s">
        <v>81</v>
      </c>
      <c r="I11" s="5" t="s">
        <v>28</v>
      </c>
      <c r="J11" s="5"/>
      <c r="K11" s="5" t="s">
        <v>29</v>
      </c>
      <c r="L11" s="5"/>
      <c r="M11" s="5"/>
    </row>
    <row r="12" customFormat="false" ht="23.25" hidden="false" customHeight="true" outlineLevel="0" collapsed="false">
      <c r="A12" s="5" t="s">
        <v>82</v>
      </c>
      <c r="B12" s="5" t="s">
        <v>76</v>
      </c>
      <c r="C12" s="5" t="s">
        <v>77</v>
      </c>
      <c r="D12" s="5" t="s">
        <v>37</v>
      </c>
      <c r="E12" s="5" t="s">
        <v>83</v>
      </c>
      <c r="F12" s="5" t="s">
        <v>33</v>
      </c>
      <c r="G12" s="5" t="s">
        <v>84</v>
      </c>
      <c r="H12" s="5" t="s">
        <v>85</v>
      </c>
      <c r="I12" s="5" t="s">
        <v>28</v>
      </c>
      <c r="J12" s="5"/>
      <c r="K12" s="5" t="s">
        <v>29</v>
      </c>
      <c r="L12" s="5"/>
      <c r="M12" s="5"/>
    </row>
    <row r="13" customFormat="false" ht="23.25" hidden="false" customHeight="true" outlineLevel="0" collapsed="false">
      <c r="A13" s="5" t="s">
        <v>86</v>
      </c>
      <c r="B13" s="5" t="s">
        <v>76</v>
      </c>
      <c r="C13" s="5" t="s">
        <v>77</v>
      </c>
      <c r="D13" s="5" t="s">
        <v>37</v>
      </c>
      <c r="E13" s="5" t="s">
        <v>87</v>
      </c>
      <c r="F13" s="5" t="s">
        <v>88</v>
      </c>
      <c r="G13" s="5" t="s">
        <v>89</v>
      </c>
      <c r="H13" s="5" t="s">
        <v>90</v>
      </c>
      <c r="I13" s="5" t="s">
        <v>28</v>
      </c>
      <c r="J13" s="5"/>
      <c r="K13" s="5" t="s">
        <v>29</v>
      </c>
      <c r="L13" s="5"/>
      <c r="M13" s="5"/>
    </row>
    <row r="14" customFormat="false" ht="23.25" hidden="false" customHeight="true" outlineLevel="0" collapsed="false">
      <c r="A14" s="5" t="s">
        <v>91</v>
      </c>
      <c r="B14" s="5" t="s">
        <v>92</v>
      </c>
      <c r="C14" s="5" t="s">
        <v>93</v>
      </c>
      <c r="D14" s="5" t="s">
        <v>23</v>
      </c>
      <c r="E14" s="5" t="s">
        <v>94</v>
      </c>
      <c r="F14" s="5" t="s">
        <v>95</v>
      </c>
      <c r="G14" s="5" t="s">
        <v>96</v>
      </c>
      <c r="H14" s="5" t="s">
        <v>97</v>
      </c>
      <c r="I14" s="5" t="s">
        <v>28</v>
      </c>
      <c r="J14" s="5"/>
      <c r="K14" s="5" t="s">
        <v>29</v>
      </c>
      <c r="L14" s="5"/>
      <c r="M14" s="5"/>
    </row>
    <row r="15" customFormat="false" ht="15" hidden="false" customHeight="true" outlineLevel="0" collapsed="false">
      <c r="A15" s="5" t="s">
        <v>98</v>
      </c>
      <c r="B15" s="5" t="s">
        <v>92</v>
      </c>
      <c r="C15" s="5" t="s">
        <v>93</v>
      </c>
      <c r="D15" s="5" t="s">
        <v>37</v>
      </c>
      <c r="E15" s="5" t="s">
        <v>99</v>
      </c>
      <c r="F15" s="5" t="s">
        <v>100</v>
      </c>
      <c r="G15" s="5" t="s">
        <v>101</v>
      </c>
      <c r="H15" s="5" t="s">
        <v>102</v>
      </c>
      <c r="I15" s="5" t="s">
        <v>28</v>
      </c>
      <c r="J15" s="5"/>
      <c r="K15" s="5" t="s">
        <v>29</v>
      </c>
      <c r="L15" s="5"/>
      <c r="M15" s="5"/>
    </row>
    <row r="16" customFormat="false" ht="23.25" hidden="false" customHeight="true" outlineLevel="0" collapsed="false">
      <c r="A16" s="5" t="s">
        <v>103</v>
      </c>
      <c r="B16" s="5" t="s">
        <v>92</v>
      </c>
      <c r="C16" s="5" t="s">
        <v>93</v>
      </c>
      <c r="D16" s="5" t="s">
        <v>37</v>
      </c>
      <c r="E16" s="5" t="s">
        <v>104</v>
      </c>
      <c r="F16" s="5" t="s">
        <v>33</v>
      </c>
      <c r="G16" s="5" t="s">
        <v>105</v>
      </c>
      <c r="H16" s="5" t="s">
        <v>106</v>
      </c>
      <c r="I16" s="5" t="s">
        <v>28</v>
      </c>
      <c r="J16" s="5"/>
      <c r="K16" s="5" t="s">
        <v>29</v>
      </c>
      <c r="L16" s="5"/>
      <c r="M16" s="5"/>
    </row>
    <row r="17" customFormat="false" ht="23.25" hidden="false" customHeight="true" outlineLevel="0" collapsed="false">
      <c r="A17" s="5" t="s">
        <v>107</v>
      </c>
      <c r="B17" s="5" t="s">
        <v>108</v>
      </c>
      <c r="C17" s="5" t="s">
        <v>109</v>
      </c>
      <c r="D17" s="5" t="s">
        <v>23</v>
      </c>
      <c r="E17" s="5" t="s">
        <v>110</v>
      </c>
      <c r="F17" s="5" t="s">
        <v>33</v>
      </c>
      <c r="G17" s="5" t="s">
        <v>111</v>
      </c>
      <c r="H17" s="5" t="s">
        <v>112</v>
      </c>
      <c r="I17" s="5" t="s">
        <v>28</v>
      </c>
      <c r="J17" s="5"/>
      <c r="K17" s="5" t="s">
        <v>29</v>
      </c>
      <c r="L17" s="5"/>
      <c r="M17" s="5"/>
    </row>
    <row r="18" customFormat="false" ht="23.25" hidden="false" customHeight="true" outlineLevel="0" collapsed="false">
      <c r="A18" s="5" t="s">
        <v>113</v>
      </c>
      <c r="B18" s="5" t="s">
        <v>108</v>
      </c>
      <c r="C18" s="5" t="s">
        <v>109</v>
      </c>
      <c r="D18" s="5" t="s">
        <v>23</v>
      </c>
      <c r="E18" s="5" t="s">
        <v>114</v>
      </c>
      <c r="F18" s="5" t="s">
        <v>115</v>
      </c>
      <c r="G18" s="5" t="s">
        <v>116</v>
      </c>
      <c r="H18" s="5" t="s">
        <v>117</v>
      </c>
      <c r="I18" s="5" t="s">
        <v>28</v>
      </c>
      <c r="J18" s="5"/>
      <c r="K18" s="5" t="s">
        <v>29</v>
      </c>
      <c r="L18" s="5"/>
      <c r="M18" s="5"/>
    </row>
    <row r="19" customFormat="false" ht="23.25" hidden="false" customHeight="true" outlineLevel="0" collapsed="false">
      <c r="A19" s="5" t="s">
        <v>118</v>
      </c>
      <c r="B19" s="5" t="s">
        <v>108</v>
      </c>
      <c r="C19" s="5" t="s">
        <v>109</v>
      </c>
      <c r="D19" s="5" t="s">
        <v>37</v>
      </c>
      <c r="E19" s="5" t="s">
        <v>119</v>
      </c>
      <c r="F19" s="5" t="s">
        <v>33</v>
      </c>
      <c r="G19" s="5" t="s">
        <v>120</v>
      </c>
      <c r="H19" s="5" t="s">
        <v>121</v>
      </c>
      <c r="I19" s="5" t="s">
        <v>28</v>
      </c>
      <c r="J19" s="5"/>
      <c r="K19" s="5" t="s">
        <v>29</v>
      </c>
      <c r="L19" s="5"/>
      <c r="M19" s="5"/>
    </row>
    <row r="20" customFormat="false" ht="34.5" hidden="false" customHeight="true" outlineLevel="0" collapsed="false">
      <c r="A20" s="5" t="s">
        <v>122</v>
      </c>
      <c r="B20" s="5" t="s">
        <v>123</v>
      </c>
      <c r="C20" s="5" t="s">
        <v>124</v>
      </c>
      <c r="D20" s="5" t="s">
        <v>23</v>
      </c>
      <c r="E20" s="5" t="s">
        <v>125</v>
      </c>
      <c r="F20" s="5" t="s">
        <v>33</v>
      </c>
      <c r="G20" s="5" t="s">
        <v>126</v>
      </c>
      <c r="H20" s="5" t="s">
        <v>127</v>
      </c>
      <c r="I20" s="5" t="s">
        <v>28</v>
      </c>
      <c r="J20" s="5"/>
      <c r="K20" s="5" t="s">
        <v>29</v>
      </c>
      <c r="L20" s="5"/>
      <c r="M20" s="5"/>
    </row>
    <row r="21" customFormat="false" ht="15" hidden="false" customHeight="true" outlineLevel="0" collapsed="false">
      <c r="A21" s="5" t="s">
        <v>128</v>
      </c>
      <c r="B21" s="5" t="s">
        <v>123</v>
      </c>
      <c r="C21" s="5" t="s">
        <v>124</v>
      </c>
      <c r="D21" s="5" t="s">
        <v>37</v>
      </c>
      <c r="E21" s="5" t="s">
        <v>129</v>
      </c>
      <c r="F21" s="5" t="s">
        <v>130</v>
      </c>
      <c r="G21" s="5" t="s">
        <v>131</v>
      </c>
      <c r="H21" s="5" t="s">
        <v>132</v>
      </c>
      <c r="I21" s="5" t="s">
        <v>28</v>
      </c>
      <c r="J21" s="5"/>
      <c r="K21" s="5" t="s">
        <v>29</v>
      </c>
      <c r="L21" s="5"/>
      <c r="M21" s="5"/>
    </row>
    <row r="22" customFormat="false" ht="45.75" hidden="false" customHeight="true" outlineLevel="0" collapsed="false">
      <c r="A22" s="6" t="s">
        <v>133</v>
      </c>
      <c r="B22" s="6" t="s">
        <v>134</v>
      </c>
      <c r="C22" s="5" t="s">
        <v>135</v>
      </c>
      <c r="D22" s="5" t="s">
        <v>23</v>
      </c>
      <c r="E22" s="5" t="s">
        <v>136</v>
      </c>
      <c r="F22" s="5" t="s">
        <v>137</v>
      </c>
      <c r="G22" s="5" t="s">
        <v>138</v>
      </c>
      <c r="H22" s="5" t="s">
        <v>139</v>
      </c>
      <c r="I22" s="5" t="s">
        <v>140</v>
      </c>
      <c r="J22" s="5"/>
      <c r="K22" s="5" t="s">
        <v>29</v>
      </c>
      <c r="L22" s="5"/>
      <c r="M22" s="5"/>
    </row>
    <row r="23" customFormat="false" ht="23.25" hidden="false" customHeight="true" outlineLevel="0" collapsed="false">
      <c r="A23" s="6" t="s">
        <v>141</v>
      </c>
      <c r="B23" s="6" t="s">
        <v>134</v>
      </c>
      <c r="C23" s="5" t="s">
        <v>135</v>
      </c>
      <c r="D23" s="5" t="s">
        <v>23</v>
      </c>
      <c r="E23" s="5" t="s">
        <v>142</v>
      </c>
      <c r="F23" s="5" t="s">
        <v>143</v>
      </c>
      <c r="G23" s="5" t="s">
        <v>144</v>
      </c>
      <c r="H23" s="5" t="s">
        <v>145</v>
      </c>
      <c r="I23" s="5" t="s">
        <v>140</v>
      </c>
      <c r="J23" s="5"/>
      <c r="K23" s="5" t="s">
        <v>29</v>
      </c>
      <c r="L23" s="5"/>
      <c r="M23" s="5"/>
    </row>
    <row r="24" customFormat="false" ht="23.25" hidden="false" customHeight="true" outlineLevel="0" collapsed="false">
      <c r="A24" s="6" t="s">
        <v>146</v>
      </c>
      <c r="B24" s="6" t="s">
        <v>134</v>
      </c>
      <c r="C24" s="5" t="s">
        <v>135</v>
      </c>
      <c r="D24" s="5" t="s">
        <v>31</v>
      </c>
      <c r="E24" s="5" t="s">
        <v>147</v>
      </c>
      <c r="F24" s="5" t="s">
        <v>148</v>
      </c>
      <c r="G24" s="5" t="s">
        <v>149</v>
      </c>
      <c r="H24" s="5" t="s">
        <v>150</v>
      </c>
      <c r="I24" s="5" t="s">
        <v>140</v>
      </c>
      <c r="J24" s="5"/>
      <c r="K24" s="5" t="s">
        <v>29</v>
      </c>
      <c r="L24" s="5"/>
      <c r="M24" s="5"/>
    </row>
    <row r="25" customFormat="false" ht="23.25" hidden="false" customHeight="true" outlineLevel="0" collapsed="false">
      <c r="A25" s="6" t="s">
        <v>151</v>
      </c>
      <c r="B25" s="6" t="s">
        <v>134</v>
      </c>
      <c r="C25" s="5" t="s">
        <v>135</v>
      </c>
      <c r="D25" s="5" t="s">
        <v>31</v>
      </c>
      <c r="E25" s="5" t="s">
        <v>152</v>
      </c>
      <c r="F25" s="5" t="s">
        <v>153</v>
      </c>
      <c r="G25" s="5" t="s">
        <v>154</v>
      </c>
      <c r="H25" s="5" t="s">
        <v>155</v>
      </c>
      <c r="I25" s="5" t="s">
        <v>140</v>
      </c>
      <c r="J25" s="5"/>
      <c r="K25" s="5" t="s">
        <v>29</v>
      </c>
      <c r="L25" s="5"/>
      <c r="M25" s="5"/>
    </row>
    <row r="26" customFormat="false" ht="15" hidden="false" customHeight="true" outlineLevel="0" collapsed="false">
      <c r="A26" s="6" t="s">
        <v>156</v>
      </c>
      <c r="B26" s="6" t="s">
        <v>134</v>
      </c>
      <c r="C26" s="5" t="s">
        <v>135</v>
      </c>
      <c r="D26" s="5" t="s">
        <v>37</v>
      </c>
      <c r="E26" s="5" t="s">
        <v>157</v>
      </c>
      <c r="F26" s="5" t="s">
        <v>158</v>
      </c>
      <c r="G26" s="5" t="s">
        <v>159</v>
      </c>
      <c r="H26" s="5" t="s">
        <v>160</v>
      </c>
      <c r="I26" s="5" t="s">
        <v>140</v>
      </c>
      <c r="J26" s="5"/>
      <c r="K26" s="5" t="s">
        <v>29</v>
      </c>
      <c r="L26" s="5"/>
      <c r="M26" s="5"/>
    </row>
    <row r="27" customFormat="false" ht="15" hidden="false" customHeight="true" outlineLevel="0" collapsed="false">
      <c r="A27" s="6" t="s">
        <v>161</v>
      </c>
      <c r="B27" s="6" t="s">
        <v>134</v>
      </c>
      <c r="C27" s="5" t="s">
        <v>135</v>
      </c>
      <c r="D27" s="5" t="s">
        <v>37</v>
      </c>
      <c r="E27" s="5" t="s">
        <v>162</v>
      </c>
      <c r="F27" s="5" t="s">
        <v>163</v>
      </c>
      <c r="G27" s="5" t="s">
        <v>164</v>
      </c>
      <c r="H27" s="5" t="s">
        <v>165</v>
      </c>
      <c r="I27" s="5" t="s">
        <v>140</v>
      </c>
      <c r="J27" s="5"/>
      <c r="K27" s="5" t="s">
        <v>29</v>
      </c>
      <c r="L27" s="5"/>
      <c r="M27" s="5"/>
    </row>
    <row r="28" customFormat="false" ht="23.25" hidden="false" customHeight="true" outlineLevel="0" collapsed="false">
      <c r="A28" s="6" t="s">
        <v>166</v>
      </c>
      <c r="B28" s="6" t="s">
        <v>134</v>
      </c>
      <c r="C28" s="5" t="s">
        <v>135</v>
      </c>
      <c r="D28" s="5" t="s">
        <v>37</v>
      </c>
      <c r="E28" s="5" t="s">
        <v>167</v>
      </c>
      <c r="F28" s="5" t="s">
        <v>168</v>
      </c>
      <c r="G28" s="5" t="s">
        <v>144</v>
      </c>
      <c r="H28" s="5" t="s">
        <v>169</v>
      </c>
      <c r="I28" s="5" t="s">
        <v>140</v>
      </c>
      <c r="J28" s="5"/>
      <c r="K28" s="5" t="s">
        <v>29</v>
      </c>
      <c r="L28" s="5"/>
      <c r="M28" s="5"/>
    </row>
    <row r="29" customFormat="false" ht="23.25" hidden="false" customHeight="true" outlineLevel="0" collapsed="false">
      <c r="A29" s="6" t="s">
        <v>170</v>
      </c>
      <c r="B29" s="6" t="s">
        <v>134</v>
      </c>
      <c r="C29" s="5" t="s">
        <v>135</v>
      </c>
      <c r="D29" s="5" t="s">
        <v>37</v>
      </c>
      <c r="E29" s="5" t="s">
        <v>171</v>
      </c>
      <c r="F29" s="5" t="s">
        <v>172</v>
      </c>
      <c r="G29" s="5" t="s">
        <v>173</v>
      </c>
      <c r="H29" s="5" t="s">
        <v>174</v>
      </c>
      <c r="I29" s="5" t="s">
        <v>140</v>
      </c>
      <c r="J29" s="5"/>
      <c r="K29" s="5" t="s">
        <v>29</v>
      </c>
      <c r="L29" s="5"/>
      <c r="M29" s="5"/>
    </row>
    <row r="30" customFormat="false" ht="23.25" hidden="false" customHeight="true" outlineLevel="0" collapsed="false">
      <c r="A30" s="6" t="s">
        <v>175</v>
      </c>
      <c r="B30" s="6" t="s">
        <v>176</v>
      </c>
      <c r="C30" s="5" t="s">
        <v>177</v>
      </c>
      <c r="D30" s="5" t="s">
        <v>23</v>
      </c>
      <c r="E30" s="5" t="s">
        <v>178</v>
      </c>
      <c r="F30" s="5" t="s">
        <v>179</v>
      </c>
      <c r="G30" s="5" t="s">
        <v>180</v>
      </c>
      <c r="H30" s="5" t="s">
        <v>181</v>
      </c>
      <c r="I30" s="5" t="s">
        <v>140</v>
      </c>
      <c r="J30" s="5"/>
      <c r="K30" s="5" t="s">
        <v>29</v>
      </c>
      <c r="L30" s="5"/>
      <c r="M30" s="5"/>
    </row>
    <row r="31" customFormat="false" ht="23.25" hidden="false" customHeight="true" outlineLevel="0" collapsed="false">
      <c r="A31" s="6" t="s">
        <v>182</v>
      </c>
      <c r="B31" s="6" t="s">
        <v>176</v>
      </c>
      <c r="C31" s="5" t="s">
        <v>177</v>
      </c>
      <c r="D31" s="5" t="s">
        <v>23</v>
      </c>
      <c r="E31" s="5" t="s">
        <v>183</v>
      </c>
      <c r="F31" s="5" t="s">
        <v>184</v>
      </c>
      <c r="G31" s="5" t="s">
        <v>185</v>
      </c>
      <c r="H31" s="5" t="s">
        <v>186</v>
      </c>
      <c r="I31" s="5" t="s">
        <v>140</v>
      </c>
      <c r="J31" s="5"/>
      <c r="K31" s="5" t="s">
        <v>29</v>
      </c>
      <c r="L31" s="5"/>
      <c r="M31" s="5"/>
    </row>
    <row r="32" customFormat="false" ht="23.25" hidden="false" customHeight="true" outlineLevel="0" collapsed="false">
      <c r="A32" s="6" t="s">
        <v>187</v>
      </c>
      <c r="B32" s="6" t="s">
        <v>176</v>
      </c>
      <c r="C32" s="5" t="s">
        <v>177</v>
      </c>
      <c r="D32" s="5" t="s">
        <v>23</v>
      </c>
      <c r="E32" s="5" t="s">
        <v>188</v>
      </c>
      <c r="F32" s="5" t="s">
        <v>189</v>
      </c>
      <c r="G32" s="5" t="s">
        <v>190</v>
      </c>
      <c r="H32" s="5" t="s">
        <v>191</v>
      </c>
      <c r="I32" s="5" t="s">
        <v>140</v>
      </c>
      <c r="J32" s="5"/>
      <c r="K32" s="5" t="s">
        <v>29</v>
      </c>
      <c r="L32" s="5"/>
      <c r="M32" s="5"/>
    </row>
    <row r="33" customFormat="false" ht="23.25" hidden="false" customHeight="true" outlineLevel="0" collapsed="false">
      <c r="A33" s="6" t="s">
        <v>192</v>
      </c>
      <c r="B33" s="6" t="s">
        <v>176</v>
      </c>
      <c r="C33" s="5" t="s">
        <v>177</v>
      </c>
      <c r="D33" s="5" t="s">
        <v>31</v>
      </c>
      <c r="E33" s="5" t="s">
        <v>193</v>
      </c>
      <c r="F33" s="5" t="s">
        <v>194</v>
      </c>
      <c r="G33" s="5" t="s">
        <v>195</v>
      </c>
      <c r="H33" s="5" t="s">
        <v>196</v>
      </c>
      <c r="I33" s="5" t="s">
        <v>140</v>
      </c>
      <c r="J33" s="5"/>
      <c r="K33" s="5" t="s">
        <v>29</v>
      </c>
      <c r="L33" s="5"/>
      <c r="M33" s="5"/>
    </row>
    <row r="34" customFormat="false" ht="23.25" hidden="false" customHeight="true" outlineLevel="0" collapsed="false">
      <c r="A34" s="6" t="s">
        <v>197</v>
      </c>
      <c r="B34" s="6" t="s">
        <v>176</v>
      </c>
      <c r="C34" s="5" t="s">
        <v>177</v>
      </c>
      <c r="D34" s="5" t="s">
        <v>37</v>
      </c>
      <c r="E34" s="5" t="s">
        <v>198</v>
      </c>
      <c r="F34" s="5" t="s">
        <v>199</v>
      </c>
      <c r="G34" s="5" t="s">
        <v>200</v>
      </c>
      <c r="H34" s="5" t="s">
        <v>201</v>
      </c>
      <c r="I34" s="5" t="s">
        <v>140</v>
      </c>
      <c r="J34" s="5"/>
      <c r="K34" s="5" t="s">
        <v>29</v>
      </c>
      <c r="L34" s="5"/>
      <c r="M34" s="5"/>
    </row>
    <row r="35" customFormat="false" ht="15" hidden="false" customHeight="true" outlineLevel="0" collapsed="false">
      <c r="A35" s="6" t="s">
        <v>202</v>
      </c>
      <c r="B35" s="6" t="s">
        <v>176</v>
      </c>
      <c r="C35" s="5" t="s">
        <v>177</v>
      </c>
      <c r="D35" s="5" t="s">
        <v>37</v>
      </c>
      <c r="E35" s="5" t="s">
        <v>203</v>
      </c>
      <c r="F35" s="5" t="s">
        <v>204</v>
      </c>
      <c r="G35" s="5" t="s">
        <v>205</v>
      </c>
      <c r="H35" s="5" t="s">
        <v>206</v>
      </c>
      <c r="I35" s="5" t="s">
        <v>140</v>
      </c>
      <c r="J35" s="5"/>
      <c r="K35" s="5" t="s">
        <v>29</v>
      </c>
      <c r="L35" s="5"/>
      <c r="M35" s="5"/>
    </row>
    <row r="36" customFormat="false" ht="23.25" hidden="false" customHeight="true" outlineLevel="0" collapsed="false">
      <c r="A36" s="6" t="s">
        <v>207</v>
      </c>
      <c r="B36" s="6" t="s">
        <v>176</v>
      </c>
      <c r="C36" s="5" t="s">
        <v>177</v>
      </c>
      <c r="D36" s="5" t="s">
        <v>37</v>
      </c>
      <c r="E36" s="5" t="s">
        <v>208</v>
      </c>
      <c r="F36" s="5" t="s">
        <v>209</v>
      </c>
      <c r="G36" s="5" t="s">
        <v>210</v>
      </c>
      <c r="H36" s="5" t="s">
        <v>211</v>
      </c>
      <c r="I36" s="5" t="s">
        <v>140</v>
      </c>
      <c r="J36" s="5"/>
      <c r="K36" s="5" t="s">
        <v>29</v>
      </c>
      <c r="L36" s="5"/>
      <c r="M36" s="5"/>
    </row>
    <row r="37" customFormat="false" ht="23.25" hidden="false" customHeight="true" outlineLevel="0" collapsed="false">
      <c r="A37" s="6" t="s">
        <v>212</v>
      </c>
      <c r="B37" s="6" t="s">
        <v>213</v>
      </c>
      <c r="C37" s="5" t="s">
        <v>214</v>
      </c>
      <c r="D37" s="5" t="s">
        <v>23</v>
      </c>
      <c r="E37" s="5" t="s">
        <v>215</v>
      </c>
      <c r="F37" s="5" t="s">
        <v>216</v>
      </c>
      <c r="G37" s="5" t="s">
        <v>217</v>
      </c>
      <c r="H37" s="5" t="s">
        <v>218</v>
      </c>
      <c r="I37" s="5" t="s">
        <v>140</v>
      </c>
      <c r="J37" s="5"/>
      <c r="K37" s="5" t="s">
        <v>29</v>
      </c>
      <c r="L37" s="5"/>
      <c r="M37" s="5"/>
    </row>
    <row r="38" customFormat="false" ht="45.75" hidden="false" customHeight="true" outlineLevel="0" collapsed="false">
      <c r="A38" s="6" t="s">
        <v>219</v>
      </c>
      <c r="B38" s="6" t="s">
        <v>213</v>
      </c>
      <c r="C38" s="5" t="s">
        <v>214</v>
      </c>
      <c r="D38" s="5" t="s">
        <v>23</v>
      </c>
      <c r="E38" s="5" t="s">
        <v>220</v>
      </c>
      <c r="F38" s="5" t="s">
        <v>33</v>
      </c>
      <c r="G38" s="5" t="s">
        <v>221</v>
      </c>
      <c r="H38" s="5" t="s">
        <v>222</v>
      </c>
      <c r="I38" s="5" t="s">
        <v>140</v>
      </c>
      <c r="J38" s="5"/>
      <c r="K38" s="5" t="s">
        <v>29</v>
      </c>
      <c r="L38" s="5"/>
      <c r="M38" s="5"/>
    </row>
    <row r="39" customFormat="false" ht="23.25" hidden="false" customHeight="true" outlineLevel="0" collapsed="false">
      <c r="A39" s="6" t="s">
        <v>223</v>
      </c>
      <c r="B39" s="6" t="s">
        <v>213</v>
      </c>
      <c r="C39" s="5" t="s">
        <v>214</v>
      </c>
      <c r="D39" s="5" t="s">
        <v>31</v>
      </c>
      <c r="E39" s="5" t="s">
        <v>224</v>
      </c>
      <c r="F39" s="5" t="s">
        <v>225</v>
      </c>
      <c r="G39" s="5" t="s">
        <v>226</v>
      </c>
      <c r="H39" s="5" t="s">
        <v>227</v>
      </c>
      <c r="I39" s="5" t="s">
        <v>140</v>
      </c>
      <c r="J39" s="5"/>
      <c r="K39" s="5" t="s">
        <v>29</v>
      </c>
      <c r="L39" s="5"/>
      <c r="M39" s="5"/>
    </row>
    <row r="40" customFormat="false" ht="23.25" hidden="false" customHeight="true" outlineLevel="0" collapsed="false">
      <c r="A40" s="6" t="s">
        <v>228</v>
      </c>
      <c r="B40" s="6" t="s">
        <v>213</v>
      </c>
      <c r="C40" s="5" t="s">
        <v>214</v>
      </c>
      <c r="D40" s="5" t="s">
        <v>37</v>
      </c>
      <c r="E40" s="5" t="s">
        <v>229</v>
      </c>
      <c r="F40" s="5" t="s">
        <v>33</v>
      </c>
      <c r="G40" s="5" t="s">
        <v>230</v>
      </c>
      <c r="H40" s="5" t="s">
        <v>231</v>
      </c>
      <c r="I40" s="5" t="s">
        <v>140</v>
      </c>
      <c r="J40" s="5"/>
      <c r="K40" s="5" t="s">
        <v>29</v>
      </c>
      <c r="L40" s="5"/>
      <c r="M40" s="5"/>
    </row>
    <row r="41" customFormat="false" ht="23.25" hidden="false" customHeight="true" outlineLevel="0" collapsed="false">
      <c r="A41" s="6" t="s">
        <v>232</v>
      </c>
      <c r="B41" s="6" t="s">
        <v>213</v>
      </c>
      <c r="C41" s="5" t="s">
        <v>214</v>
      </c>
      <c r="D41" s="5" t="s">
        <v>37</v>
      </c>
      <c r="E41" s="5" t="s">
        <v>233</v>
      </c>
      <c r="F41" s="5" t="s">
        <v>33</v>
      </c>
      <c r="G41" s="5" t="s">
        <v>234</v>
      </c>
      <c r="H41" s="5" t="s">
        <v>235</v>
      </c>
      <c r="I41" s="5" t="s">
        <v>140</v>
      </c>
      <c r="J41" s="5"/>
      <c r="K41" s="5" t="s">
        <v>29</v>
      </c>
      <c r="L41" s="5"/>
      <c r="M41" s="5"/>
    </row>
    <row r="42" customFormat="false" ht="23.25" hidden="false" customHeight="true" outlineLevel="0" collapsed="false">
      <c r="A42" s="6" t="s">
        <v>236</v>
      </c>
      <c r="B42" s="6" t="s">
        <v>213</v>
      </c>
      <c r="C42" s="5" t="s">
        <v>214</v>
      </c>
      <c r="D42" s="5" t="s">
        <v>37</v>
      </c>
      <c r="E42" s="5" t="s">
        <v>237</v>
      </c>
      <c r="F42" s="5" t="s">
        <v>238</v>
      </c>
      <c r="G42" s="5" t="s">
        <v>239</v>
      </c>
      <c r="H42" s="5" t="s">
        <v>240</v>
      </c>
      <c r="I42" s="5" t="s">
        <v>140</v>
      </c>
      <c r="J42" s="5"/>
      <c r="K42" s="5" t="s">
        <v>29</v>
      </c>
      <c r="L42" s="5"/>
      <c r="M42" s="5"/>
    </row>
    <row r="43" customFormat="false" ht="23.25" hidden="false" customHeight="true" outlineLevel="0" collapsed="false">
      <c r="A43" s="6" t="s">
        <v>241</v>
      </c>
      <c r="B43" s="6" t="s">
        <v>213</v>
      </c>
      <c r="C43" s="5" t="s">
        <v>214</v>
      </c>
      <c r="D43" s="5" t="s">
        <v>37</v>
      </c>
      <c r="E43" s="5" t="s">
        <v>242</v>
      </c>
      <c r="F43" s="5" t="s">
        <v>243</v>
      </c>
      <c r="G43" s="5" t="s">
        <v>244</v>
      </c>
      <c r="H43" s="5" t="s">
        <v>245</v>
      </c>
      <c r="I43" s="5" t="s">
        <v>140</v>
      </c>
      <c r="J43" s="5"/>
      <c r="K43" s="5" t="s">
        <v>29</v>
      </c>
      <c r="L43" s="5"/>
      <c r="M43" s="5"/>
    </row>
    <row r="44" customFormat="false" ht="34.5" hidden="false" customHeight="true" outlineLevel="0" collapsed="false">
      <c r="A44" s="5" t="s">
        <v>246</v>
      </c>
      <c r="B44" s="5" t="s">
        <v>247</v>
      </c>
      <c r="C44" s="5" t="s">
        <v>248</v>
      </c>
      <c r="D44" s="5" t="s">
        <v>23</v>
      </c>
      <c r="E44" s="5" t="s">
        <v>249</v>
      </c>
      <c r="F44" s="5" t="s">
        <v>250</v>
      </c>
      <c r="G44" s="5" t="s">
        <v>251</v>
      </c>
      <c r="H44" s="5" t="s">
        <v>252</v>
      </c>
      <c r="I44" s="5" t="s">
        <v>253</v>
      </c>
      <c r="J44" s="5"/>
      <c r="K44" s="5" t="s">
        <v>29</v>
      </c>
      <c r="L44" s="5"/>
      <c r="M44" s="5"/>
    </row>
    <row r="45" customFormat="false" ht="15" hidden="false" customHeight="true" outlineLevel="0" collapsed="false">
      <c r="A45" s="5" t="s">
        <v>254</v>
      </c>
      <c r="B45" s="5" t="s">
        <v>247</v>
      </c>
      <c r="C45" s="5" t="s">
        <v>248</v>
      </c>
      <c r="D45" s="5" t="s">
        <v>37</v>
      </c>
      <c r="E45" s="5" t="s">
        <v>255</v>
      </c>
      <c r="F45" s="5" t="s">
        <v>256</v>
      </c>
      <c r="G45" s="5" t="s">
        <v>257</v>
      </c>
      <c r="H45" s="5" t="s">
        <v>258</v>
      </c>
      <c r="I45" s="5" t="s">
        <v>253</v>
      </c>
      <c r="J45" s="5"/>
      <c r="K45" s="5" t="s">
        <v>29</v>
      </c>
      <c r="L45" s="5"/>
      <c r="M45" s="5"/>
    </row>
    <row r="46" customFormat="false" ht="23.25" hidden="false" customHeight="true" outlineLevel="0" collapsed="false">
      <c r="A46" s="5" t="s">
        <v>259</v>
      </c>
      <c r="B46" s="5" t="s">
        <v>247</v>
      </c>
      <c r="C46" s="5" t="s">
        <v>248</v>
      </c>
      <c r="D46" s="5" t="s">
        <v>23</v>
      </c>
      <c r="E46" s="5" t="s">
        <v>260</v>
      </c>
      <c r="F46" s="5" t="s">
        <v>261</v>
      </c>
      <c r="G46" s="5" t="s">
        <v>262</v>
      </c>
      <c r="H46" s="5" t="s">
        <v>263</v>
      </c>
      <c r="I46" s="5" t="s">
        <v>253</v>
      </c>
      <c r="J46" s="5"/>
      <c r="K46" s="5" t="s">
        <v>29</v>
      </c>
      <c r="L46" s="5"/>
      <c r="M46" s="5"/>
    </row>
    <row r="47" customFormat="false" ht="34.5" hidden="false" customHeight="true" outlineLevel="0" collapsed="false">
      <c r="A47" s="5" t="s">
        <v>264</v>
      </c>
      <c r="B47" s="5" t="s">
        <v>265</v>
      </c>
      <c r="C47" s="5" t="s">
        <v>266</v>
      </c>
      <c r="D47" s="5" t="s">
        <v>23</v>
      </c>
      <c r="E47" s="5" t="s">
        <v>267</v>
      </c>
      <c r="F47" s="5" t="s">
        <v>268</v>
      </c>
      <c r="G47" s="5" t="s">
        <v>269</v>
      </c>
      <c r="H47" s="5" t="s">
        <v>270</v>
      </c>
      <c r="I47" s="5" t="s">
        <v>253</v>
      </c>
      <c r="J47" s="5"/>
      <c r="K47" s="5" t="s">
        <v>29</v>
      </c>
      <c r="L47" s="5"/>
      <c r="M47" s="5"/>
    </row>
    <row r="48" customFormat="false" ht="23.25" hidden="false" customHeight="true" outlineLevel="0" collapsed="false">
      <c r="A48" s="5" t="s">
        <v>271</v>
      </c>
      <c r="B48" s="5" t="s">
        <v>265</v>
      </c>
      <c r="C48" s="5" t="s">
        <v>266</v>
      </c>
      <c r="D48" s="5" t="s">
        <v>23</v>
      </c>
      <c r="E48" s="5" t="s">
        <v>272</v>
      </c>
      <c r="F48" s="5" t="s">
        <v>273</v>
      </c>
      <c r="G48" s="5" t="s">
        <v>274</v>
      </c>
      <c r="H48" s="5" t="s">
        <v>275</v>
      </c>
      <c r="I48" s="5" t="s">
        <v>253</v>
      </c>
      <c r="J48" s="5"/>
      <c r="K48" s="5" t="s">
        <v>29</v>
      </c>
      <c r="L48" s="5"/>
      <c r="M48" s="5"/>
    </row>
    <row r="49" customFormat="false" ht="34.5" hidden="false" customHeight="true" outlineLevel="0" collapsed="false">
      <c r="A49" s="5" t="s">
        <v>276</v>
      </c>
      <c r="B49" s="5" t="s">
        <v>277</v>
      </c>
      <c r="C49" s="5" t="s">
        <v>278</v>
      </c>
      <c r="D49" s="5" t="s">
        <v>23</v>
      </c>
      <c r="E49" s="5" t="s">
        <v>279</v>
      </c>
      <c r="F49" s="5" t="s">
        <v>268</v>
      </c>
      <c r="G49" s="5" t="s">
        <v>280</v>
      </c>
      <c r="H49" s="5" t="s">
        <v>281</v>
      </c>
      <c r="I49" s="5" t="s">
        <v>253</v>
      </c>
      <c r="J49" s="5"/>
      <c r="K49" s="5" t="s">
        <v>29</v>
      </c>
      <c r="L49" s="5"/>
      <c r="M49" s="5"/>
    </row>
    <row r="50" customFormat="false" ht="34.5" hidden="false" customHeight="true" outlineLevel="0" collapsed="false">
      <c r="A50" s="5" t="s">
        <v>282</v>
      </c>
      <c r="B50" s="5" t="s">
        <v>283</v>
      </c>
      <c r="C50" s="5" t="s">
        <v>284</v>
      </c>
      <c r="D50" s="5" t="s">
        <v>23</v>
      </c>
      <c r="E50" s="5" t="s">
        <v>285</v>
      </c>
      <c r="F50" s="5" t="s">
        <v>268</v>
      </c>
      <c r="G50" s="5" t="s">
        <v>286</v>
      </c>
      <c r="H50" s="5" t="s">
        <v>287</v>
      </c>
      <c r="I50" s="5" t="s">
        <v>253</v>
      </c>
      <c r="J50" s="5"/>
      <c r="K50" s="5" t="s">
        <v>29</v>
      </c>
      <c r="L50" s="5"/>
      <c r="M50" s="5"/>
    </row>
    <row r="51" customFormat="false" ht="34.5" hidden="false" customHeight="true" outlineLevel="0" collapsed="false">
      <c r="A51" s="5" t="s">
        <v>288</v>
      </c>
      <c r="B51" s="5" t="s">
        <v>289</v>
      </c>
      <c r="C51" s="5" t="s">
        <v>290</v>
      </c>
      <c r="D51" s="5" t="s">
        <v>23</v>
      </c>
      <c r="E51" s="5" t="s">
        <v>291</v>
      </c>
      <c r="F51" s="5" t="s">
        <v>268</v>
      </c>
      <c r="G51" s="5" t="s">
        <v>292</v>
      </c>
      <c r="H51" s="5" t="s">
        <v>293</v>
      </c>
      <c r="I51" s="5" t="s">
        <v>253</v>
      </c>
      <c r="J51" s="5"/>
      <c r="K51" s="5" t="s">
        <v>29</v>
      </c>
      <c r="L51" s="5"/>
      <c r="M51" s="5"/>
    </row>
    <row r="52" customFormat="false" ht="34.5" hidden="false" customHeight="true" outlineLevel="0" collapsed="false">
      <c r="A52" s="5" t="s">
        <v>294</v>
      </c>
      <c r="B52" s="5" t="s">
        <v>295</v>
      </c>
      <c r="C52" s="5" t="s">
        <v>296</v>
      </c>
      <c r="D52" s="5" t="s">
        <v>23</v>
      </c>
      <c r="E52" s="5" t="s">
        <v>296</v>
      </c>
      <c r="F52" s="5" t="s">
        <v>268</v>
      </c>
      <c r="G52" s="5" t="s">
        <v>297</v>
      </c>
      <c r="H52" s="5" t="s">
        <v>298</v>
      </c>
      <c r="I52" s="5" t="s">
        <v>253</v>
      </c>
      <c r="J52" s="5"/>
      <c r="K52" s="5" t="s">
        <v>29</v>
      </c>
      <c r="L52" s="5"/>
      <c r="M52" s="5"/>
    </row>
    <row r="53" customFormat="false" ht="45.75" hidden="false" customHeight="true" outlineLevel="0" collapsed="false">
      <c r="A53" s="6" t="s">
        <v>299</v>
      </c>
      <c r="B53" s="6" t="s">
        <v>300</v>
      </c>
      <c r="C53" s="5" t="s">
        <v>301</v>
      </c>
      <c r="D53" s="5" t="s">
        <v>23</v>
      </c>
      <c r="E53" s="5" t="s">
        <v>302</v>
      </c>
      <c r="F53" s="5" t="s">
        <v>303</v>
      </c>
      <c r="G53" s="5" t="s">
        <v>304</v>
      </c>
      <c r="H53" s="5" t="s">
        <v>305</v>
      </c>
      <c r="I53" s="5" t="s">
        <v>140</v>
      </c>
      <c r="J53" s="5"/>
      <c r="K53" s="5" t="s">
        <v>29</v>
      </c>
      <c r="L53" s="5"/>
      <c r="M53" s="5"/>
    </row>
    <row r="54" customFormat="false" ht="23.25" hidden="false" customHeight="true" outlineLevel="0" collapsed="false">
      <c r="A54" s="6" t="s">
        <v>306</v>
      </c>
      <c r="B54" s="6" t="s">
        <v>300</v>
      </c>
      <c r="C54" s="5" t="s">
        <v>301</v>
      </c>
      <c r="D54" s="5" t="s">
        <v>23</v>
      </c>
      <c r="E54" s="5" t="s">
        <v>307</v>
      </c>
      <c r="F54" s="5" t="s">
        <v>308</v>
      </c>
      <c r="G54" s="5" t="s">
        <v>309</v>
      </c>
      <c r="H54" s="5" t="s">
        <v>310</v>
      </c>
      <c r="I54" s="5" t="s">
        <v>140</v>
      </c>
      <c r="J54" s="5"/>
      <c r="K54" s="5" t="s">
        <v>29</v>
      </c>
      <c r="L54" s="5"/>
      <c r="M54" s="5"/>
    </row>
    <row r="55" customFormat="false" ht="23.25" hidden="false" customHeight="true" outlineLevel="0" collapsed="false">
      <c r="A55" s="6" t="s">
        <v>311</v>
      </c>
      <c r="B55" s="6" t="s">
        <v>300</v>
      </c>
      <c r="C55" s="5" t="s">
        <v>301</v>
      </c>
      <c r="D55" s="5" t="s">
        <v>31</v>
      </c>
      <c r="E55" s="5" t="s">
        <v>312</v>
      </c>
      <c r="F55" s="5" t="s">
        <v>313</v>
      </c>
      <c r="G55" s="5" t="s">
        <v>314</v>
      </c>
      <c r="H55" s="5" t="s">
        <v>315</v>
      </c>
      <c r="I55" s="5" t="s">
        <v>140</v>
      </c>
      <c r="J55" s="5"/>
      <c r="K55" s="5" t="s">
        <v>29</v>
      </c>
      <c r="L55" s="5"/>
      <c r="M55" s="5"/>
    </row>
    <row r="56" customFormat="false" ht="15" hidden="false" customHeight="true" outlineLevel="0" collapsed="false">
      <c r="A56" s="6" t="s">
        <v>316</v>
      </c>
      <c r="B56" s="6" t="s">
        <v>300</v>
      </c>
      <c r="C56" s="5" t="s">
        <v>301</v>
      </c>
      <c r="D56" s="5" t="s">
        <v>31</v>
      </c>
      <c r="E56" s="5" t="s">
        <v>317</v>
      </c>
      <c r="F56" s="5" t="s">
        <v>318</v>
      </c>
      <c r="G56" s="5" t="s">
        <v>319</v>
      </c>
      <c r="H56" s="5" t="s">
        <v>320</v>
      </c>
      <c r="I56" s="5" t="s">
        <v>140</v>
      </c>
      <c r="J56" s="5"/>
      <c r="K56" s="5" t="s">
        <v>29</v>
      </c>
      <c r="L56" s="5"/>
      <c r="M56" s="5"/>
    </row>
    <row r="57" customFormat="false" ht="15" hidden="false" customHeight="true" outlineLevel="0" collapsed="false">
      <c r="A57" s="6" t="s">
        <v>321</v>
      </c>
      <c r="B57" s="6" t="s">
        <v>300</v>
      </c>
      <c r="C57" s="5" t="s">
        <v>301</v>
      </c>
      <c r="D57" s="5" t="s">
        <v>37</v>
      </c>
      <c r="E57" s="5" t="s">
        <v>322</v>
      </c>
      <c r="F57" s="5" t="s">
        <v>323</v>
      </c>
      <c r="G57" s="5" t="s">
        <v>324</v>
      </c>
      <c r="H57" s="5" t="s">
        <v>325</v>
      </c>
      <c r="I57" s="5" t="s">
        <v>140</v>
      </c>
      <c r="J57" s="5"/>
      <c r="K57" s="5" t="s">
        <v>29</v>
      </c>
      <c r="L57" s="5"/>
      <c r="M57" s="5"/>
    </row>
    <row r="58" customFormat="false" ht="15" hidden="false" customHeight="true" outlineLevel="0" collapsed="false">
      <c r="A58" s="6" t="s">
        <v>326</v>
      </c>
      <c r="B58" s="6" t="s">
        <v>300</v>
      </c>
      <c r="C58" s="5" t="s">
        <v>301</v>
      </c>
      <c r="D58" s="5" t="s">
        <v>37</v>
      </c>
      <c r="E58" s="5" t="s">
        <v>327</v>
      </c>
      <c r="F58" s="5" t="s">
        <v>328</v>
      </c>
      <c r="G58" s="5" t="s">
        <v>329</v>
      </c>
      <c r="H58" s="5" t="s">
        <v>330</v>
      </c>
      <c r="I58" s="5" t="s">
        <v>140</v>
      </c>
      <c r="J58" s="5"/>
      <c r="K58" s="5" t="s">
        <v>29</v>
      </c>
      <c r="L58" s="5"/>
      <c r="M58" s="5"/>
    </row>
    <row r="59" customFormat="false" ht="23.25" hidden="false" customHeight="true" outlineLevel="0" collapsed="false">
      <c r="A59" s="6" t="s">
        <v>331</v>
      </c>
      <c r="B59" s="6" t="s">
        <v>300</v>
      </c>
      <c r="C59" s="5" t="s">
        <v>301</v>
      </c>
      <c r="D59" s="5" t="s">
        <v>37</v>
      </c>
      <c r="E59" s="5" t="s">
        <v>332</v>
      </c>
      <c r="F59" s="5" t="s">
        <v>333</v>
      </c>
      <c r="G59" s="5" t="s">
        <v>334</v>
      </c>
      <c r="H59" s="5" t="s">
        <v>335</v>
      </c>
      <c r="I59" s="5" t="s">
        <v>140</v>
      </c>
      <c r="J59" s="5"/>
      <c r="K59" s="5" t="s">
        <v>29</v>
      </c>
      <c r="L59" s="5"/>
      <c r="M59" s="5"/>
    </row>
    <row r="60" customFormat="false" ht="34.5" hidden="false" customHeight="true" outlineLevel="0" collapsed="false">
      <c r="A60" s="6" t="s">
        <v>336</v>
      </c>
      <c r="B60" s="6" t="s">
        <v>300</v>
      </c>
      <c r="C60" s="5" t="s">
        <v>301</v>
      </c>
      <c r="D60" s="5" t="s">
        <v>37</v>
      </c>
      <c r="E60" s="5" t="s">
        <v>337</v>
      </c>
      <c r="F60" s="5" t="s">
        <v>268</v>
      </c>
      <c r="G60" s="5" t="s">
        <v>338</v>
      </c>
      <c r="H60" s="5" t="s">
        <v>339</v>
      </c>
      <c r="I60" s="5" t="s">
        <v>140</v>
      </c>
      <c r="J60" s="5"/>
      <c r="K60" s="5" t="s">
        <v>29</v>
      </c>
      <c r="L60" s="5"/>
      <c r="M60" s="5"/>
    </row>
    <row r="61" customFormat="false" ht="34.5" hidden="false" customHeight="true" outlineLevel="0" collapsed="false">
      <c r="A61" s="6" t="s">
        <v>340</v>
      </c>
      <c r="B61" s="6" t="s">
        <v>341</v>
      </c>
      <c r="C61" s="5" t="s">
        <v>342</v>
      </c>
      <c r="D61" s="5" t="s">
        <v>23</v>
      </c>
      <c r="E61" s="5" t="s">
        <v>343</v>
      </c>
      <c r="F61" s="5" t="s">
        <v>344</v>
      </c>
      <c r="G61" s="5" t="s">
        <v>345</v>
      </c>
      <c r="H61" s="5" t="s">
        <v>346</v>
      </c>
      <c r="I61" s="5" t="s">
        <v>140</v>
      </c>
      <c r="J61" s="5"/>
      <c r="K61" s="5" t="s">
        <v>29</v>
      </c>
      <c r="L61" s="5"/>
      <c r="M61" s="5"/>
    </row>
    <row r="62" customFormat="false" ht="23.25" hidden="false" customHeight="true" outlineLevel="0" collapsed="false">
      <c r="A62" s="6" t="s">
        <v>347</v>
      </c>
      <c r="B62" s="6" t="s">
        <v>341</v>
      </c>
      <c r="C62" s="5" t="s">
        <v>342</v>
      </c>
      <c r="D62" s="5" t="s">
        <v>23</v>
      </c>
      <c r="E62" s="5" t="s">
        <v>348</v>
      </c>
      <c r="F62" s="5" t="s">
        <v>349</v>
      </c>
      <c r="G62" s="5" t="s">
        <v>350</v>
      </c>
      <c r="H62" s="5" t="s">
        <v>351</v>
      </c>
      <c r="I62" s="5" t="s">
        <v>140</v>
      </c>
      <c r="J62" s="5"/>
      <c r="K62" s="5" t="s">
        <v>29</v>
      </c>
      <c r="L62" s="5"/>
      <c r="M62" s="5"/>
    </row>
    <row r="63" customFormat="false" ht="23.25" hidden="false" customHeight="true" outlineLevel="0" collapsed="false">
      <c r="A63" s="6" t="s">
        <v>352</v>
      </c>
      <c r="B63" s="6" t="s">
        <v>341</v>
      </c>
      <c r="C63" s="5" t="s">
        <v>342</v>
      </c>
      <c r="D63" s="5" t="s">
        <v>31</v>
      </c>
      <c r="E63" s="5" t="s">
        <v>353</v>
      </c>
      <c r="F63" s="5" t="s">
        <v>354</v>
      </c>
      <c r="G63" s="5" t="s">
        <v>355</v>
      </c>
      <c r="H63" s="5" t="s">
        <v>356</v>
      </c>
      <c r="I63" s="5" t="s">
        <v>140</v>
      </c>
      <c r="J63" s="5"/>
      <c r="K63" s="5" t="s">
        <v>29</v>
      </c>
      <c r="L63" s="5"/>
      <c r="M63" s="5"/>
    </row>
    <row r="64" customFormat="false" ht="23.25" hidden="false" customHeight="true" outlineLevel="0" collapsed="false">
      <c r="A64" s="6" t="s">
        <v>357</v>
      </c>
      <c r="B64" s="6" t="s">
        <v>341</v>
      </c>
      <c r="C64" s="5" t="s">
        <v>342</v>
      </c>
      <c r="D64" s="5" t="s">
        <v>31</v>
      </c>
      <c r="E64" s="5" t="s">
        <v>358</v>
      </c>
      <c r="F64" s="5" t="s">
        <v>359</v>
      </c>
      <c r="G64" s="5" t="s">
        <v>360</v>
      </c>
      <c r="H64" s="5" t="s">
        <v>361</v>
      </c>
      <c r="I64" s="5" t="s">
        <v>140</v>
      </c>
      <c r="J64" s="5"/>
      <c r="K64" s="5" t="s">
        <v>29</v>
      </c>
      <c r="L64" s="5"/>
      <c r="M64" s="5"/>
    </row>
    <row r="65" customFormat="false" ht="15" hidden="false" customHeight="true" outlineLevel="0" collapsed="false">
      <c r="A65" s="6" t="s">
        <v>362</v>
      </c>
      <c r="B65" s="6" t="s">
        <v>341</v>
      </c>
      <c r="C65" s="5" t="s">
        <v>342</v>
      </c>
      <c r="D65" s="5" t="s">
        <v>37</v>
      </c>
      <c r="E65" s="5" t="s">
        <v>363</v>
      </c>
      <c r="F65" s="5" t="s">
        <v>359</v>
      </c>
      <c r="G65" s="5" t="s">
        <v>364</v>
      </c>
      <c r="H65" s="5" t="s">
        <v>365</v>
      </c>
      <c r="I65" s="5" t="s">
        <v>140</v>
      </c>
      <c r="J65" s="5"/>
      <c r="K65" s="5" t="s">
        <v>29</v>
      </c>
      <c r="L65" s="5"/>
      <c r="M65" s="5"/>
    </row>
    <row r="66" customFormat="false" ht="15" hidden="false" customHeight="true" outlineLevel="0" collapsed="false">
      <c r="A66" s="6" t="s">
        <v>366</v>
      </c>
      <c r="B66" s="6" t="s">
        <v>341</v>
      </c>
      <c r="C66" s="5" t="s">
        <v>342</v>
      </c>
      <c r="D66" s="5" t="s">
        <v>37</v>
      </c>
      <c r="E66" s="5" t="s">
        <v>367</v>
      </c>
      <c r="F66" s="5" t="s">
        <v>368</v>
      </c>
      <c r="G66" s="5" t="s">
        <v>369</v>
      </c>
      <c r="H66" s="5" t="s">
        <v>370</v>
      </c>
      <c r="I66" s="5" t="s">
        <v>140</v>
      </c>
      <c r="J66" s="5"/>
      <c r="K66" s="5" t="s">
        <v>29</v>
      </c>
      <c r="L66" s="5"/>
      <c r="M66" s="5"/>
    </row>
    <row r="67" customFormat="false" ht="34.5" hidden="false" customHeight="true" outlineLevel="0" collapsed="false">
      <c r="A67" s="6" t="s">
        <v>371</v>
      </c>
      <c r="B67" s="6" t="s">
        <v>341</v>
      </c>
      <c r="C67" s="5" t="s">
        <v>342</v>
      </c>
      <c r="D67" s="5" t="s">
        <v>37</v>
      </c>
      <c r="E67" s="5" t="s">
        <v>372</v>
      </c>
      <c r="F67" s="5" t="s">
        <v>268</v>
      </c>
      <c r="G67" s="5" t="s">
        <v>373</v>
      </c>
      <c r="H67" s="5" t="s">
        <v>374</v>
      </c>
      <c r="I67" s="5" t="s">
        <v>140</v>
      </c>
      <c r="J67" s="5"/>
      <c r="K67" s="5" t="s">
        <v>29</v>
      </c>
      <c r="L67" s="5"/>
      <c r="M67" s="5"/>
    </row>
    <row r="68" customFormat="false" ht="23.25" hidden="false" customHeight="true" outlineLevel="0" collapsed="false">
      <c r="A68" s="6" t="s">
        <v>375</v>
      </c>
      <c r="B68" s="6" t="s">
        <v>341</v>
      </c>
      <c r="C68" s="5" t="s">
        <v>342</v>
      </c>
      <c r="D68" s="5" t="s">
        <v>37</v>
      </c>
      <c r="E68" s="5" t="s">
        <v>376</v>
      </c>
      <c r="F68" s="5" t="s">
        <v>377</v>
      </c>
      <c r="G68" s="5" t="s">
        <v>378</v>
      </c>
      <c r="H68" s="5" t="s">
        <v>379</v>
      </c>
      <c r="I68" s="5" t="s">
        <v>140</v>
      </c>
      <c r="J68" s="5"/>
      <c r="K68" s="5" t="s">
        <v>29</v>
      </c>
      <c r="L68" s="5"/>
      <c r="M68" s="5"/>
    </row>
    <row r="69" customFormat="false" ht="45.75" hidden="false" customHeight="true" outlineLevel="0" collapsed="false">
      <c r="A69" s="6" t="s">
        <v>380</v>
      </c>
      <c r="B69" s="6" t="s">
        <v>381</v>
      </c>
      <c r="C69" s="5" t="s">
        <v>382</v>
      </c>
      <c r="D69" s="5" t="s">
        <v>23</v>
      </c>
      <c r="E69" s="5" t="s">
        <v>383</v>
      </c>
      <c r="F69" s="5" t="s">
        <v>268</v>
      </c>
      <c r="G69" s="5" t="s">
        <v>384</v>
      </c>
      <c r="H69" s="5" t="s">
        <v>385</v>
      </c>
      <c r="I69" s="5" t="s">
        <v>140</v>
      </c>
      <c r="J69" s="5"/>
      <c r="K69" s="5" t="s">
        <v>29</v>
      </c>
      <c r="L69" s="5"/>
      <c r="M69" s="5"/>
    </row>
    <row r="70" customFormat="false" ht="23.25" hidden="false" customHeight="true" outlineLevel="0" collapsed="false">
      <c r="A70" s="6" t="s">
        <v>386</v>
      </c>
      <c r="B70" s="6" t="s">
        <v>381</v>
      </c>
      <c r="C70" s="5" t="s">
        <v>382</v>
      </c>
      <c r="D70" s="5" t="s">
        <v>23</v>
      </c>
      <c r="E70" s="5" t="s">
        <v>387</v>
      </c>
      <c r="F70" s="5" t="s">
        <v>388</v>
      </c>
      <c r="G70" s="5" t="s">
        <v>389</v>
      </c>
      <c r="H70" s="5" t="s">
        <v>390</v>
      </c>
      <c r="I70" s="5" t="s">
        <v>140</v>
      </c>
      <c r="J70" s="5"/>
      <c r="K70" s="5" t="s">
        <v>29</v>
      </c>
      <c r="L70" s="5"/>
      <c r="M70" s="5"/>
    </row>
    <row r="71" customFormat="false" ht="15" hidden="false" customHeight="true" outlineLevel="0" collapsed="false">
      <c r="A71" s="6" t="s">
        <v>391</v>
      </c>
      <c r="B71" s="6" t="s">
        <v>381</v>
      </c>
      <c r="C71" s="5" t="s">
        <v>382</v>
      </c>
      <c r="D71" s="5" t="s">
        <v>31</v>
      </c>
      <c r="E71" s="5" t="s">
        <v>392</v>
      </c>
      <c r="F71" s="5" t="s">
        <v>393</v>
      </c>
      <c r="G71" s="5" t="s">
        <v>394</v>
      </c>
      <c r="H71" s="5" t="s">
        <v>395</v>
      </c>
      <c r="I71" s="5" t="s">
        <v>140</v>
      </c>
      <c r="J71" s="5"/>
      <c r="K71" s="5" t="s">
        <v>29</v>
      </c>
      <c r="L71" s="5"/>
      <c r="M71" s="5"/>
    </row>
    <row r="72" customFormat="false" ht="23.25" hidden="false" customHeight="true" outlineLevel="0" collapsed="false">
      <c r="A72" s="6" t="s">
        <v>396</v>
      </c>
      <c r="B72" s="6" t="s">
        <v>381</v>
      </c>
      <c r="C72" s="5" t="s">
        <v>382</v>
      </c>
      <c r="D72" s="5" t="s">
        <v>31</v>
      </c>
      <c r="E72" s="5" t="s">
        <v>397</v>
      </c>
      <c r="F72" s="5" t="s">
        <v>398</v>
      </c>
      <c r="G72" s="5" t="s">
        <v>399</v>
      </c>
      <c r="H72" s="5" t="s">
        <v>400</v>
      </c>
      <c r="I72" s="5" t="s">
        <v>140</v>
      </c>
      <c r="J72" s="5"/>
      <c r="K72" s="5" t="s">
        <v>29</v>
      </c>
      <c r="L72" s="5"/>
      <c r="M72" s="5"/>
    </row>
    <row r="73" customFormat="false" ht="15" hidden="false" customHeight="true" outlineLevel="0" collapsed="false">
      <c r="A73" s="6" t="s">
        <v>401</v>
      </c>
      <c r="B73" s="6" t="s">
        <v>381</v>
      </c>
      <c r="C73" s="5" t="s">
        <v>382</v>
      </c>
      <c r="D73" s="5" t="s">
        <v>37</v>
      </c>
      <c r="E73" s="5" t="s">
        <v>402</v>
      </c>
      <c r="F73" s="5" t="s">
        <v>403</v>
      </c>
      <c r="G73" s="5" t="s">
        <v>404</v>
      </c>
      <c r="H73" s="5" t="s">
        <v>405</v>
      </c>
      <c r="I73" s="5" t="s">
        <v>140</v>
      </c>
      <c r="J73" s="5"/>
      <c r="K73" s="5" t="s">
        <v>29</v>
      </c>
      <c r="L73" s="5"/>
      <c r="M73" s="5"/>
    </row>
    <row r="74" customFormat="false" ht="34.5" hidden="false" customHeight="true" outlineLevel="0" collapsed="false">
      <c r="A74" s="6" t="s">
        <v>406</v>
      </c>
      <c r="B74" s="6" t="s">
        <v>381</v>
      </c>
      <c r="C74" s="5" t="s">
        <v>382</v>
      </c>
      <c r="D74" s="5" t="s">
        <v>37</v>
      </c>
      <c r="E74" s="5" t="s">
        <v>407</v>
      </c>
      <c r="F74" s="5" t="s">
        <v>268</v>
      </c>
      <c r="G74" s="5" t="s">
        <v>408</v>
      </c>
      <c r="H74" s="5" t="s">
        <v>409</v>
      </c>
      <c r="I74" s="5" t="s">
        <v>140</v>
      </c>
      <c r="J74" s="5"/>
      <c r="K74" s="5" t="s">
        <v>29</v>
      </c>
      <c r="L74" s="5"/>
      <c r="M74" s="5"/>
    </row>
    <row r="75" customFormat="false" ht="34.5" hidden="false" customHeight="true" outlineLevel="0" collapsed="false">
      <c r="A75" s="6" t="s">
        <v>410</v>
      </c>
      <c r="B75" s="6" t="s">
        <v>381</v>
      </c>
      <c r="C75" s="5" t="s">
        <v>382</v>
      </c>
      <c r="D75" s="5" t="s">
        <v>37</v>
      </c>
      <c r="E75" s="5" t="s">
        <v>411</v>
      </c>
      <c r="F75" s="5" t="s">
        <v>268</v>
      </c>
      <c r="G75" s="5" t="s">
        <v>412</v>
      </c>
      <c r="H75" s="5" t="s">
        <v>413</v>
      </c>
      <c r="I75" s="5" t="s">
        <v>140</v>
      </c>
      <c r="J75" s="5"/>
      <c r="K75" s="5" t="s">
        <v>29</v>
      </c>
      <c r="L75" s="5"/>
      <c r="M75" s="5"/>
    </row>
    <row r="76" customFormat="false" ht="34.5" hidden="false" customHeight="true" outlineLevel="0" collapsed="false">
      <c r="A76" s="6" t="s">
        <v>414</v>
      </c>
      <c r="B76" s="6" t="s">
        <v>381</v>
      </c>
      <c r="C76" s="5" t="s">
        <v>382</v>
      </c>
      <c r="D76" s="5" t="s">
        <v>37</v>
      </c>
      <c r="E76" s="5" t="s">
        <v>415</v>
      </c>
      <c r="F76" s="5" t="s">
        <v>268</v>
      </c>
      <c r="G76" s="5" t="s">
        <v>416</v>
      </c>
      <c r="H76" s="5" t="s">
        <v>417</v>
      </c>
      <c r="I76" s="5" t="s">
        <v>140</v>
      </c>
      <c r="J76" s="5"/>
      <c r="K76" s="5" t="s">
        <v>29</v>
      </c>
      <c r="L76" s="5"/>
      <c r="M76" s="5"/>
    </row>
    <row r="77" customFormat="false" ht="34.5" hidden="false" customHeight="true" outlineLevel="0" collapsed="false">
      <c r="A77" s="6" t="s">
        <v>418</v>
      </c>
      <c r="B77" s="6" t="s">
        <v>381</v>
      </c>
      <c r="C77" s="5" t="s">
        <v>382</v>
      </c>
      <c r="D77" s="5" t="s">
        <v>37</v>
      </c>
      <c r="E77" s="5" t="s">
        <v>419</v>
      </c>
      <c r="F77" s="5" t="s">
        <v>268</v>
      </c>
      <c r="G77" s="5" t="s">
        <v>420</v>
      </c>
      <c r="H77" s="5" t="s">
        <v>421</v>
      </c>
      <c r="I77" s="5" t="s">
        <v>140</v>
      </c>
      <c r="J77" s="5"/>
      <c r="K77" s="5" t="s">
        <v>29</v>
      </c>
      <c r="L77" s="5"/>
      <c r="M77" s="5"/>
    </row>
    <row r="78" customFormat="false" ht="15" hidden="false" customHeight="true" outlineLevel="0" collapsed="false">
      <c r="A78" s="6" t="s">
        <v>422</v>
      </c>
      <c r="B78" s="6" t="s">
        <v>381</v>
      </c>
      <c r="C78" s="5" t="s">
        <v>382</v>
      </c>
      <c r="D78" s="5" t="s">
        <v>37</v>
      </c>
      <c r="E78" s="5" t="s">
        <v>423</v>
      </c>
      <c r="F78" s="5" t="s">
        <v>424</v>
      </c>
      <c r="G78" s="5" t="s">
        <v>425</v>
      </c>
      <c r="H78" s="5" t="s">
        <v>426</v>
      </c>
      <c r="I78" s="5" t="s">
        <v>140</v>
      </c>
      <c r="J78" s="5"/>
      <c r="K78" s="5" t="s">
        <v>29</v>
      </c>
      <c r="L78" s="5"/>
      <c r="M78" s="5"/>
    </row>
    <row r="79" customFormat="false" ht="34.5" hidden="false" customHeight="true" outlineLevel="0" collapsed="false">
      <c r="A79" s="6" t="s">
        <v>427</v>
      </c>
      <c r="B79" s="6" t="s">
        <v>428</v>
      </c>
      <c r="C79" s="5" t="s">
        <v>429</v>
      </c>
      <c r="D79" s="5" t="s">
        <v>23</v>
      </c>
      <c r="E79" s="5" t="s">
        <v>430</v>
      </c>
      <c r="F79" s="5" t="s">
        <v>268</v>
      </c>
      <c r="G79" s="5" t="s">
        <v>431</v>
      </c>
      <c r="H79" s="5" t="s">
        <v>432</v>
      </c>
      <c r="I79" s="5" t="s">
        <v>140</v>
      </c>
      <c r="J79" s="5"/>
      <c r="K79" s="5" t="s">
        <v>29</v>
      </c>
      <c r="L79" s="5"/>
      <c r="M79" s="5"/>
    </row>
    <row r="80" customFormat="false" ht="34.5" hidden="false" customHeight="true" outlineLevel="0" collapsed="false">
      <c r="A80" s="6" t="s">
        <v>433</v>
      </c>
      <c r="B80" s="6" t="s">
        <v>428</v>
      </c>
      <c r="C80" s="5" t="s">
        <v>429</v>
      </c>
      <c r="D80" s="5" t="s">
        <v>23</v>
      </c>
      <c r="E80" s="5" t="s">
        <v>434</v>
      </c>
      <c r="F80" s="5" t="s">
        <v>435</v>
      </c>
      <c r="G80" s="5" t="s">
        <v>436</v>
      </c>
      <c r="H80" s="5" t="s">
        <v>437</v>
      </c>
      <c r="I80" s="5" t="s">
        <v>140</v>
      </c>
      <c r="J80" s="5"/>
      <c r="K80" s="5" t="s">
        <v>29</v>
      </c>
      <c r="L80" s="5"/>
      <c r="M80" s="5"/>
    </row>
    <row r="81" customFormat="false" ht="34.5" hidden="false" customHeight="true" outlineLevel="0" collapsed="false">
      <c r="A81" s="6" t="s">
        <v>438</v>
      </c>
      <c r="B81" s="6" t="s">
        <v>428</v>
      </c>
      <c r="C81" s="5" t="s">
        <v>429</v>
      </c>
      <c r="D81" s="5" t="s">
        <v>31</v>
      </c>
      <c r="E81" s="5" t="s">
        <v>439</v>
      </c>
      <c r="F81" s="5" t="s">
        <v>440</v>
      </c>
      <c r="G81" s="5" t="s">
        <v>441</v>
      </c>
      <c r="H81" s="5" t="s">
        <v>442</v>
      </c>
      <c r="I81" s="5" t="s">
        <v>140</v>
      </c>
      <c r="J81" s="5"/>
      <c r="K81" s="5" t="s">
        <v>29</v>
      </c>
      <c r="L81" s="5"/>
      <c r="M81" s="5"/>
    </row>
    <row r="82" customFormat="false" ht="23.25" hidden="false" customHeight="true" outlineLevel="0" collapsed="false">
      <c r="A82" s="6" t="s">
        <v>443</v>
      </c>
      <c r="B82" s="6" t="s">
        <v>428</v>
      </c>
      <c r="C82" s="5" t="s">
        <v>429</v>
      </c>
      <c r="D82" s="5" t="s">
        <v>31</v>
      </c>
      <c r="E82" s="5" t="s">
        <v>444</v>
      </c>
      <c r="F82" s="5" t="s">
        <v>440</v>
      </c>
      <c r="G82" s="5" t="s">
        <v>445</v>
      </c>
      <c r="H82" s="5" t="s">
        <v>446</v>
      </c>
      <c r="I82" s="5" t="s">
        <v>140</v>
      </c>
      <c r="J82" s="5"/>
      <c r="K82" s="5" t="s">
        <v>29</v>
      </c>
      <c r="L82" s="5"/>
      <c r="M82" s="5"/>
    </row>
    <row r="83" customFormat="false" ht="34.5" hidden="false" customHeight="true" outlineLevel="0" collapsed="false">
      <c r="A83" s="6" t="s">
        <v>447</v>
      </c>
      <c r="B83" s="6" t="s">
        <v>428</v>
      </c>
      <c r="C83" s="5" t="s">
        <v>429</v>
      </c>
      <c r="D83" s="5" t="s">
        <v>37</v>
      </c>
      <c r="E83" s="5" t="s">
        <v>448</v>
      </c>
      <c r="F83" s="5" t="s">
        <v>268</v>
      </c>
      <c r="G83" s="5" t="s">
        <v>449</v>
      </c>
      <c r="H83" s="5" t="s">
        <v>450</v>
      </c>
      <c r="I83" s="5" t="s">
        <v>140</v>
      </c>
      <c r="J83" s="5"/>
      <c r="K83" s="5" t="s">
        <v>29</v>
      </c>
      <c r="L83" s="5"/>
      <c r="M83" s="5"/>
    </row>
    <row r="84" customFormat="false" ht="34.5" hidden="false" customHeight="true" outlineLevel="0" collapsed="false">
      <c r="A84" s="6" t="s">
        <v>451</v>
      </c>
      <c r="B84" s="6" t="s">
        <v>428</v>
      </c>
      <c r="C84" s="5" t="s">
        <v>429</v>
      </c>
      <c r="D84" s="5" t="s">
        <v>37</v>
      </c>
      <c r="E84" s="5" t="s">
        <v>452</v>
      </c>
      <c r="F84" s="5" t="s">
        <v>268</v>
      </c>
      <c r="G84" s="5" t="s">
        <v>453</v>
      </c>
      <c r="H84" s="5" t="s">
        <v>454</v>
      </c>
      <c r="I84" s="5" t="s">
        <v>140</v>
      </c>
      <c r="J84" s="5"/>
      <c r="K84" s="5" t="s">
        <v>29</v>
      </c>
      <c r="L84" s="5"/>
      <c r="M84" s="5"/>
    </row>
    <row r="85" customFormat="false" ht="23.25" hidden="false" customHeight="true" outlineLevel="0" collapsed="false">
      <c r="A85" s="6" t="s">
        <v>455</v>
      </c>
      <c r="B85" s="6" t="s">
        <v>428</v>
      </c>
      <c r="C85" s="5" t="s">
        <v>429</v>
      </c>
      <c r="D85" s="5" t="s">
        <v>37</v>
      </c>
      <c r="E85" s="5" t="s">
        <v>456</v>
      </c>
      <c r="F85" s="5" t="s">
        <v>457</v>
      </c>
      <c r="G85" s="5" t="s">
        <v>458</v>
      </c>
      <c r="H85" s="5" t="s">
        <v>459</v>
      </c>
      <c r="I85" s="5" t="s">
        <v>140</v>
      </c>
      <c r="J85" s="5"/>
      <c r="K85" s="5" t="s">
        <v>29</v>
      </c>
      <c r="L85" s="5"/>
      <c r="M85" s="5"/>
    </row>
    <row r="86" customFormat="false" ht="34.5" hidden="false" customHeight="true" outlineLevel="0" collapsed="false">
      <c r="A86" s="6" t="s">
        <v>460</v>
      </c>
      <c r="B86" s="6" t="s">
        <v>428</v>
      </c>
      <c r="C86" s="5" t="s">
        <v>429</v>
      </c>
      <c r="D86" s="5" t="s">
        <v>37</v>
      </c>
      <c r="E86" s="5" t="s">
        <v>461</v>
      </c>
      <c r="F86" s="5" t="s">
        <v>268</v>
      </c>
      <c r="G86" s="5" t="s">
        <v>462</v>
      </c>
      <c r="H86" s="5" t="s">
        <v>463</v>
      </c>
      <c r="I86" s="5" t="s">
        <v>140</v>
      </c>
      <c r="J86" s="5"/>
      <c r="K86" s="5" t="s">
        <v>29</v>
      </c>
      <c r="L86" s="5"/>
      <c r="M86" s="5"/>
    </row>
    <row r="87" customFormat="false" ht="23.25" hidden="false" customHeight="true" outlineLevel="0" collapsed="false">
      <c r="A87" s="6" t="s">
        <v>464</v>
      </c>
      <c r="B87" s="6" t="s">
        <v>428</v>
      </c>
      <c r="C87" s="5" t="s">
        <v>429</v>
      </c>
      <c r="D87" s="5" t="s">
        <v>37</v>
      </c>
      <c r="E87" s="5" t="s">
        <v>465</v>
      </c>
      <c r="F87" s="5" t="s">
        <v>466</v>
      </c>
      <c r="G87" s="5" t="s">
        <v>467</v>
      </c>
      <c r="H87" s="5" t="s">
        <v>468</v>
      </c>
      <c r="I87" s="5" t="s">
        <v>140</v>
      </c>
      <c r="J87" s="5"/>
      <c r="K87" s="5" t="s">
        <v>29</v>
      </c>
      <c r="L87" s="5"/>
      <c r="M87" s="5"/>
    </row>
    <row r="88" customFormat="false" ht="34.5" hidden="false" customHeight="true" outlineLevel="0" collapsed="false">
      <c r="A88" s="5" t="s">
        <v>469</v>
      </c>
      <c r="B88" s="5" t="s">
        <v>470</v>
      </c>
      <c r="C88" s="5" t="s">
        <v>471</v>
      </c>
      <c r="D88" s="5" t="s">
        <v>23</v>
      </c>
      <c r="E88" s="5" t="s">
        <v>472</v>
      </c>
      <c r="F88" s="5" t="s">
        <v>268</v>
      </c>
      <c r="G88" s="5" t="s">
        <v>473</v>
      </c>
      <c r="H88" s="5" t="s">
        <v>474</v>
      </c>
      <c r="I88" s="5" t="s">
        <v>253</v>
      </c>
      <c r="J88" s="5"/>
      <c r="K88" s="5" t="s">
        <v>29</v>
      </c>
      <c r="L88" s="5"/>
      <c r="M88" s="5"/>
    </row>
    <row r="89" customFormat="false" ht="34.5" hidden="false" customHeight="true" outlineLevel="0" collapsed="false">
      <c r="A89" s="5" t="s">
        <v>475</v>
      </c>
      <c r="B89" s="5" t="s">
        <v>476</v>
      </c>
      <c r="C89" s="5" t="s">
        <v>477</v>
      </c>
      <c r="D89" s="5" t="s">
        <v>23</v>
      </c>
      <c r="E89" s="5" t="s">
        <v>478</v>
      </c>
      <c r="F89" s="5" t="s">
        <v>268</v>
      </c>
      <c r="G89" s="5" t="s">
        <v>479</v>
      </c>
      <c r="H89" s="5" t="s">
        <v>480</v>
      </c>
      <c r="I89" s="5" t="s">
        <v>253</v>
      </c>
      <c r="J89" s="5"/>
      <c r="K89" s="5" t="s">
        <v>29</v>
      </c>
      <c r="L89" s="5"/>
      <c r="M89" s="5"/>
    </row>
    <row r="90" customFormat="false" ht="34.5" hidden="false" customHeight="true" outlineLevel="0" collapsed="false">
      <c r="A90" s="6" t="s">
        <v>481</v>
      </c>
      <c r="B90" s="6" t="s">
        <v>482</v>
      </c>
      <c r="C90" s="5" t="s">
        <v>483</v>
      </c>
      <c r="D90" s="5" t="s">
        <v>23</v>
      </c>
      <c r="E90" s="5" t="s">
        <v>484</v>
      </c>
      <c r="F90" s="5" t="s">
        <v>485</v>
      </c>
      <c r="G90" s="5" t="s">
        <v>486</v>
      </c>
      <c r="H90" s="5" t="s">
        <v>487</v>
      </c>
      <c r="I90" s="5" t="s">
        <v>140</v>
      </c>
      <c r="J90" s="5"/>
      <c r="K90" s="5" t="s">
        <v>29</v>
      </c>
      <c r="L90" s="5"/>
      <c r="M90" s="5"/>
    </row>
    <row r="91" customFormat="false" ht="34.5" hidden="false" customHeight="true" outlineLevel="0" collapsed="false">
      <c r="A91" s="6" t="s">
        <v>488</v>
      </c>
      <c r="B91" s="6" t="s">
        <v>482</v>
      </c>
      <c r="C91" s="5" t="s">
        <v>483</v>
      </c>
      <c r="D91" s="5" t="s">
        <v>23</v>
      </c>
      <c r="E91" s="5" t="s">
        <v>489</v>
      </c>
      <c r="F91" s="5" t="s">
        <v>268</v>
      </c>
      <c r="G91" s="5" t="s">
        <v>490</v>
      </c>
      <c r="H91" s="5" t="s">
        <v>491</v>
      </c>
      <c r="I91" s="5" t="s">
        <v>140</v>
      </c>
      <c r="J91" s="5"/>
      <c r="K91" s="5" t="s">
        <v>29</v>
      </c>
      <c r="L91" s="5"/>
      <c r="M91" s="5"/>
    </row>
    <row r="92" customFormat="false" ht="34.5" hidden="false" customHeight="true" outlineLevel="0" collapsed="false">
      <c r="A92" s="6" t="s">
        <v>492</v>
      </c>
      <c r="B92" s="6" t="s">
        <v>482</v>
      </c>
      <c r="C92" s="5" t="s">
        <v>483</v>
      </c>
      <c r="D92" s="5" t="s">
        <v>23</v>
      </c>
      <c r="E92" s="5" t="s">
        <v>493</v>
      </c>
      <c r="F92" s="5" t="s">
        <v>494</v>
      </c>
      <c r="G92" s="5" t="s">
        <v>495</v>
      </c>
      <c r="H92" s="5" t="s">
        <v>496</v>
      </c>
      <c r="I92" s="5" t="s">
        <v>140</v>
      </c>
      <c r="J92" s="5"/>
      <c r="K92" s="5" t="s">
        <v>29</v>
      </c>
      <c r="L92" s="5"/>
      <c r="M92" s="5"/>
    </row>
    <row r="93" customFormat="false" ht="23.25" hidden="false" customHeight="true" outlineLevel="0" collapsed="false">
      <c r="A93" s="6" t="s">
        <v>497</v>
      </c>
      <c r="B93" s="6" t="s">
        <v>482</v>
      </c>
      <c r="C93" s="5" t="s">
        <v>483</v>
      </c>
      <c r="D93" s="5" t="s">
        <v>31</v>
      </c>
      <c r="E93" s="5" t="s">
        <v>498</v>
      </c>
      <c r="F93" s="5" t="s">
        <v>499</v>
      </c>
      <c r="G93" s="5" t="s">
        <v>500</v>
      </c>
      <c r="H93" s="5" t="s">
        <v>501</v>
      </c>
      <c r="I93" s="5" t="s">
        <v>140</v>
      </c>
      <c r="J93" s="5"/>
      <c r="K93" s="5" t="s">
        <v>29</v>
      </c>
      <c r="L93" s="5"/>
      <c r="M93" s="5"/>
    </row>
    <row r="94" customFormat="false" ht="34.5" hidden="false" customHeight="true" outlineLevel="0" collapsed="false">
      <c r="A94" s="6" t="s">
        <v>502</v>
      </c>
      <c r="B94" s="6" t="s">
        <v>482</v>
      </c>
      <c r="C94" s="5" t="s">
        <v>483</v>
      </c>
      <c r="D94" s="5" t="s">
        <v>37</v>
      </c>
      <c r="E94" s="5" t="s">
        <v>503</v>
      </c>
      <c r="F94" s="5" t="s">
        <v>268</v>
      </c>
      <c r="G94" s="5" t="s">
        <v>504</v>
      </c>
      <c r="H94" s="5" t="s">
        <v>505</v>
      </c>
      <c r="I94" s="5" t="s">
        <v>140</v>
      </c>
      <c r="J94" s="5"/>
      <c r="K94" s="5" t="s">
        <v>29</v>
      </c>
      <c r="L94" s="5"/>
      <c r="M94" s="5"/>
    </row>
    <row r="95" customFormat="false" ht="34.5" hidden="false" customHeight="true" outlineLevel="0" collapsed="false">
      <c r="A95" s="6" t="s">
        <v>506</v>
      </c>
      <c r="B95" s="6" t="s">
        <v>482</v>
      </c>
      <c r="C95" s="5" t="s">
        <v>483</v>
      </c>
      <c r="D95" s="5" t="s">
        <v>37</v>
      </c>
      <c r="E95" s="5" t="s">
        <v>507</v>
      </c>
      <c r="F95" s="5" t="s">
        <v>268</v>
      </c>
      <c r="G95" s="5" t="s">
        <v>508</v>
      </c>
      <c r="H95" s="5" t="s">
        <v>509</v>
      </c>
      <c r="I95" s="5" t="s">
        <v>140</v>
      </c>
      <c r="J95" s="5"/>
      <c r="K95" s="5" t="s">
        <v>29</v>
      </c>
      <c r="L95" s="5"/>
      <c r="M95" s="5"/>
    </row>
    <row r="96" customFormat="false" ht="15" hidden="false" customHeight="true" outlineLevel="0" collapsed="false">
      <c r="A96" s="6" t="s">
        <v>510</v>
      </c>
      <c r="B96" s="6" t="s">
        <v>482</v>
      </c>
      <c r="C96" s="5" t="s">
        <v>483</v>
      </c>
      <c r="D96" s="5" t="s">
        <v>37</v>
      </c>
      <c r="E96" s="5" t="s">
        <v>511</v>
      </c>
      <c r="F96" s="5" t="s">
        <v>512</v>
      </c>
      <c r="G96" s="5" t="s">
        <v>513</v>
      </c>
      <c r="H96" s="5" t="s">
        <v>514</v>
      </c>
      <c r="I96" s="5" t="s">
        <v>140</v>
      </c>
      <c r="J96" s="5"/>
      <c r="K96" s="5" t="s">
        <v>29</v>
      </c>
      <c r="L96" s="5"/>
      <c r="M96" s="5"/>
    </row>
    <row r="97" customFormat="false" ht="34.5" hidden="false" customHeight="true" outlineLevel="0" collapsed="false">
      <c r="A97" s="6" t="s">
        <v>515</v>
      </c>
      <c r="B97" s="6" t="s">
        <v>482</v>
      </c>
      <c r="C97" s="5" t="s">
        <v>483</v>
      </c>
      <c r="D97" s="5" t="s">
        <v>37</v>
      </c>
      <c r="E97" s="5" t="s">
        <v>516</v>
      </c>
      <c r="F97" s="5" t="s">
        <v>435</v>
      </c>
      <c r="G97" s="5" t="s">
        <v>517</v>
      </c>
      <c r="H97" s="5" t="s">
        <v>518</v>
      </c>
      <c r="I97" s="5" t="s">
        <v>140</v>
      </c>
      <c r="J97" s="5"/>
      <c r="K97" s="5" t="s">
        <v>29</v>
      </c>
      <c r="L97" s="5"/>
      <c r="M97" s="5"/>
    </row>
  </sheetData>
  <autoFilter ref="A1:M97"/>
  <dataValidations count="1">
    <dataValidation allowBlank="false" errorStyle="stop" operator="between" showDropDown="false" showErrorMessage="false" showInputMessage="false" sqref="K2:K97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6" min="5" style="1" width="8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3"/>
    <col collapsed="false" customWidth="true" hidden="false" outlineLevel="0" max="11" min="11" style="1" width="18"/>
    <col collapsed="false" customWidth="true" hidden="false" outlineLevel="0" max="13" min="12" style="1" width="9"/>
  </cols>
  <sheetData>
    <row r="1" customFormat="false" ht="15.75" hidden="false" customHeight="true" outlineLevel="0" collapsed="false">
      <c r="A1" s="7" t="s">
        <v>519</v>
      </c>
    </row>
    <row r="2" customFormat="false" ht="15" hidden="false" customHeight="true" outlineLevel="0" collapsed="false">
      <c r="A2" s="8" t="s">
        <v>520</v>
      </c>
    </row>
    <row r="4" customFormat="false" ht="26.25" hidden="false" customHeight="true" outlineLevel="0" collapsed="false">
      <c r="A4" s="9" t="s">
        <v>8</v>
      </c>
      <c r="B4" s="9" t="s">
        <v>9</v>
      </c>
      <c r="C4" s="9" t="s">
        <v>521</v>
      </c>
      <c r="D4" s="9" t="s">
        <v>522</v>
      </c>
      <c r="E4" s="9" t="s">
        <v>523</v>
      </c>
      <c r="F4" s="9" t="s">
        <v>524</v>
      </c>
      <c r="G4" s="9" t="s">
        <v>525</v>
      </c>
      <c r="H4" s="9" t="s">
        <v>29</v>
      </c>
      <c r="I4" s="9" t="s">
        <v>526</v>
      </c>
      <c r="K4" s="10" t="s">
        <v>521</v>
      </c>
      <c r="L4" s="10" t="s">
        <v>527</v>
      </c>
      <c r="M4" s="10" t="s">
        <v>524</v>
      </c>
    </row>
    <row r="5" customFormat="false" ht="15" hidden="false" customHeight="true" outlineLevel="0" collapsed="false">
      <c r="A5" s="11" t="s">
        <v>21</v>
      </c>
      <c r="B5" s="11" t="s">
        <v>22</v>
      </c>
      <c r="C5" s="11" t="s">
        <v>28</v>
      </c>
      <c r="D5" s="11" t="n">
        <f aca="false">COUNTIF('Test case'!$B$2:$B$97,A5)</f>
        <v>3</v>
      </c>
      <c r="E5" s="11" t="n">
        <f aca="false">COUNTIFS('Test case'!$B$2:$B$97,A5,'Test case'!$K$2:$K$97,"Pass")</f>
        <v>0</v>
      </c>
      <c r="F5" s="11" t="n">
        <f aca="false">COUNTIFS('Test case'!$B$2:$B$97,A5,'Test case'!$K$2:$K$97,"Fail")</f>
        <v>0</v>
      </c>
      <c r="G5" s="11" t="n">
        <f aca="false">COUNTIFS('Test case'!$B$2:$B$97,A5,'Test case'!$K$2:$K$97,"Blocked")</f>
        <v>0</v>
      </c>
      <c r="H5" s="11" t="n">
        <f aca="false">COUNTIFS('Test case'!$B$2:$B$97,A5,'Test case'!$K$2:$K$97,"Chưa test")</f>
        <v>3</v>
      </c>
      <c r="I5" s="12" t="n">
        <f aca="false">IF(D5=0,0,E5/D5)</f>
        <v>0</v>
      </c>
      <c r="K5" s="3" t="s">
        <v>28</v>
      </c>
      <c r="L5" s="3" t="n">
        <f aca="false">COUNTIF('Test case'!$I$2:$I$97,K5)</f>
        <v>20</v>
      </c>
      <c r="M5" s="3" t="n">
        <f aca="false">COUNTIFS('Test case'!$I$2:$I$97,K5,'Test case'!$K$2:$K$97,"Fail")</f>
        <v>0</v>
      </c>
    </row>
    <row r="6" customFormat="false" ht="15" hidden="false" customHeight="true" outlineLevel="0" collapsed="false">
      <c r="A6" s="11" t="s">
        <v>43</v>
      </c>
      <c r="B6" s="11" t="s">
        <v>44</v>
      </c>
      <c r="C6" s="11" t="s">
        <v>28</v>
      </c>
      <c r="D6" s="11" t="n">
        <f aca="false">COUNTIF('Test case'!$B$2:$B$97,A6)</f>
        <v>2</v>
      </c>
      <c r="E6" s="11" t="n">
        <f aca="false">COUNTIFS('Test case'!$B$2:$B$97,A6,'Test case'!$K$2:$K$97,"Pass")</f>
        <v>0</v>
      </c>
      <c r="F6" s="11" t="n">
        <f aca="false">COUNTIFS('Test case'!$B$2:$B$97,A6,'Test case'!$K$2:$K$97,"Fail")</f>
        <v>0</v>
      </c>
      <c r="G6" s="11" t="n">
        <f aca="false">COUNTIFS('Test case'!$B$2:$B$97,A6,'Test case'!$K$2:$K$97,"Blocked")</f>
        <v>0</v>
      </c>
      <c r="H6" s="11" t="n">
        <f aca="false">COUNTIFS('Test case'!$B$2:$B$97,A6,'Test case'!$K$2:$K$97,"Chưa test")</f>
        <v>2</v>
      </c>
      <c r="I6" s="12" t="n">
        <f aca="false">IF(D6=0,0,E6/D6)</f>
        <v>0</v>
      </c>
      <c r="K6" s="3" t="s">
        <v>253</v>
      </c>
      <c r="L6" s="3" t="n">
        <f aca="false">COUNTIF('Test case'!$I$2:$I$97,K6)</f>
        <v>11</v>
      </c>
      <c r="M6" s="3" t="n">
        <f aca="false">COUNTIFS('Test case'!$I$2:$I$97,K6,'Test case'!$K$2:$K$97,"Fail")</f>
        <v>0</v>
      </c>
    </row>
    <row r="7" customFormat="false" ht="15" hidden="false" customHeight="true" outlineLevel="0" collapsed="false">
      <c r="A7" s="11" t="s">
        <v>54</v>
      </c>
      <c r="B7" s="11" t="s">
        <v>55</v>
      </c>
      <c r="C7" s="11" t="s">
        <v>28</v>
      </c>
      <c r="D7" s="11" t="n">
        <f aca="false">COUNTIF('Test case'!$B$2:$B$97,A7)</f>
        <v>2</v>
      </c>
      <c r="E7" s="11" t="n">
        <f aca="false">COUNTIFS('Test case'!$B$2:$B$97,A7,'Test case'!$K$2:$K$97,"Pass")</f>
        <v>0</v>
      </c>
      <c r="F7" s="11" t="n">
        <f aca="false">COUNTIFS('Test case'!$B$2:$B$97,A7,'Test case'!$K$2:$K$97,"Fail")</f>
        <v>0</v>
      </c>
      <c r="G7" s="11" t="n">
        <f aca="false">COUNTIFS('Test case'!$B$2:$B$97,A7,'Test case'!$K$2:$K$97,"Blocked")</f>
        <v>0</v>
      </c>
      <c r="H7" s="11" t="n">
        <f aca="false">COUNTIFS('Test case'!$B$2:$B$97,A7,'Test case'!$K$2:$K$97,"Chưa test")</f>
        <v>2</v>
      </c>
      <c r="I7" s="12" t="n">
        <f aca="false">IF(D7=0,0,E7/D7)</f>
        <v>0</v>
      </c>
      <c r="K7" s="3" t="s">
        <v>140</v>
      </c>
      <c r="L7" s="3" t="n">
        <f aca="false">COUNTIF('Test case'!$I$2:$I$97,K7)</f>
        <v>65</v>
      </c>
      <c r="M7" s="3" t="n">
        <f aca="false">COUNTIFS('Test case'!$I$2:$I$97,K7,'Test case'!$K$2:$K$97,"Fail")</f>
        <v>0</v>
      </c>
    </row>
    <row r="8" customFormat="false" ht="15" hidden="false" customHeight="true" outlineLevel="0" collapsed="false">
      <c r="A8" s="11" t="s">
        <v>64</v>
      </c>
      <c r="B8" s="11" t="s">
        <v>65</v>
      </c>
      <c r="C8" s="11" t="s">
        <v>28</v>
      </c>
      <c r="D8" s="11" t="n">
        <f aca="false">COUNTIF('Test case'!$B$2:$B$97,A8)</f>
        <v>2</v>
      </c>
      <c r="E8" s="11" t="n">
        <f aca="false">COUNTIFS('Test case'!$B$2:$B$97,A8,'Test case'!$K$2:$K$97,"Pass")</f>
        <v>0</v>
      </c>
      <c r="F8" s="11" t="n">
        <f aca="false">COUNTIFS('Test case'!$B$2:$B$97,A8,'Test case'!$K$2:$K$97,"Fail")</f>
        <v>0</v>
      </c>
      <c r="G8" s="11" t="n">
        <f aca="false">COUNTIFS('Test case'!$B$2:$B$97,A8,'Test case'!$K$2:$K$97,"Blocked")</f>
        <v>0</v>
      </c>
      <c r="H8" s="11" t="n">
        <f aca="false">COUNTIFS('Test case'!$B$2:$B$97,A8,'Test case'!$K$2:$K$97,"Chưa test")</f>
        <v>2</v>
      </c>
      <c r="I8" s="12" t="n">
        <f aca="false">IF(D8=0,0,E8/D8)</f>
        <v>0</v>
      </c>
    </row>
    <row r="9" customFormat="false" ht="15" hidden="false" customHeight="true" outlineLevel="0" collapsed="false">
      <c r="A9" s="11" t="s">
        <v>76</v>
      </c>
      <c r="B9" s="11" t="s">
        <v>77</v>
      </c>
      <c r="C9" s="11" t="s">
        <v>28</v>
      </c>
      <c r="D9" s="11" t="n">
        <f aca="false">COUNTIF('Test case'!$B$2:$B$97,A9)</f>
        <v>3</v>
      </c>
      <c r="E9" s="11" t="n">
        <f aca="false">COUNTIFS('Test case'!$B$2:$B$97,A9,'Test case'!$K$2:$K$97,"Pass")</f>
        <v>0</v>
      </c>
      <c r="F9" s="11" t="n">
        <f aca="false">COUNTIFS('Test case'!$B$2:$B$97,A9,'Test case'!$K$2:$K$97,"Fail")</f>
        <v>0</v>
      </c>
      <c r="G9" s="11" t="n">
        <f aca="false">COUNTIFS('Test case'!$B$2:$B$97,A9,'Test case'!$K$2:$K$97,"Blocked")</f>
        <v>0</v>
      </c>
      <c r="H9" s="11" t="n">
        <f aca="false">COUNTIFS('Test case'!$B$2:$B$97,A9,'Test case'!$K$2:$K$97,"Chưa test")</f>
        <v>3</v>
      </c>
      <c r="I9" s="12" t="n">
        <f aca="false">IF(D9=0,0,E9/D9)</f>
        <v>0</v>
      </c>
    </row>
    <row r="10" customFormat="false" ht="15" hidden="false" customHeight="true" outlineLevel="0" collapsed="false">
      <c r="A10" s="11" t="s">
        <v>92</v>
      </c>
      <c r="B10" s="11" t="s">
        <v>93</v>
      </c>
      <c r="C10" s="11" t="s">
        <v>28</v>
      </c>
      <c r="D10" s="11" t="n">
        <f aca="false">COUNTIF('Test case'!$B$2:$B$97,A10)</f>
        <v>3</v>
      </c>
      <c r="E10" s="11" t="n">
        <f aca="false">COUNTIFS('Test case'!$B$2:$B$97,A10,'Test case'!$K$2:$K$97,"Pass")</f>
        <v>0</v>
      </c>
      <c r="F10" s="11" t="n">
        <f aca="false">COUNTIFS('Test case'!$B$2:$B$97,A10,'Test case'!$K$2:$K$97,"Fail")</f>
        <v>0</v>
      </c>
      <c r="G10" s="11" t="n">
        <f aca="false">COUNTIFS('Test case'!$B$2:$B$97,A10,'Test case'!$K$2:$K$97,"Blocked")</f>
        <v>0</v>
      </c>
      <c r="H10" s="11" t="n">
        <f aca="false">COUNTIFS('Test case'!$B$2:$B$97,A10,'Test case'!$K$2:$K$97,"Chưa test")</f>
        <v>3</v>
      </c>
      <c r="I10" s="12" t="n">
        <f aca="false">IF(D10=0,0,E10/D10)</f>
        <v>0</v>
      </c>
    </row>
    <row r="11" customFormat="false" ht="15" hidden="false" customHeight="true" outlineLevel="0" collapsed="false">
      <c r="A11" s="11" t="s">
        <v>108</v>
      </c>
      <c r="B11" s="11" t="s">
        <v>109</v>
      </c>
      <c r="C11" s="11" t="s">
        <v>28</v>
      </c>
      <c r="D11" s="11" t="n">
        <f aca="false">COUNTIF('Test case'!$B$2:$B$97,A11)</f>
        <v>3</v>
      </c>
      <c r="E11" s="11" t="n">
        <f aca="false">COUNTIFS('Test case'!$B$2:$B$97,A11,'Test case'!$K$2:$K$97,"Pass")</f>
        <v>0</v>
      </c>
      <c r="F11" s="11" t="n">
        <f aca="false">COUNTIFS('Test case'!$B$2:$B$97,A11,'Test case'!$K$2:$K$97,"Fail")</f>
        <v>0</v>
      </c>
      <c r="G11" s="11" t="n">
        <f aca="false">COUNTIFS('Test case'!$B$2:$B$97,A11,'Test case'!$K$2:$K$97,"Blocked")</f>
        <v>0</v>
      </c>
      <c r="H11" s="11" t="n">
        <f aca="false">COUNTIFS('Test case'!$B$2:$B$97,A11,'Test case'!$K$2:$K$97,"Chưa test")</f>
        <v>3</v>
      </c>
      <c r="I11" s="12" t="n">
        <f aca="false">IF(D11=0,0,E11/D11)</f>
        <v>0</v>
      </c>
    </row>
    <row r="12" customFormat="false" ht="15" hidden="false" customHeight="true" outlineLevel="0" collapsed="false">
      <c r="A12" s="11" t="s">
        <v>123</v>
      </c>
      <c r="B12" s="11" t="s">
        <v>124</v>
      </c>
      <c r="C12" s="11" t="s">
        <v>28</v>
      </c>
      <c r="D12" s="11" t="n">
        <f aca="false">COUNTIF('Test case'!$B$2:$B$97,A12)</f>
        <v>2</v>
      </c>
      <c r="E12" s="11" t="n">
        <f aca="false">COUNTIFS('Test case'!$B$2:$B$97,A12,'Test case'!$K$2:$K$97,"Pass")</f>
        <v>0</v>
      </c>
      <c r="F12" s="11" t="n">
        <f aca="false">COUNTIFS('Test case'!$B$2:$B$97,A12,'Test case'!$K$2:$K$97,"Fail")</f>
        <v>0</v>
      </c>
      <c r="G12" s="11" t="n">
        <f aca="false">COUNTIFS('Test case'!$B$2:$B$97,A12,'Test case'!$K$2:$K$97,"Blocked")</f>
        <v>0</v>
      </c>
      <c r="H12" s="11" t="n">
        <f aca="false">COUNTIFS('Test case'!$B$2:$B$97,A12,'Test case'!$K$2:$K$97,"Chưa test")</f>
        <v>2</v>
      </c>
      <c r="I12" s="12" t="n">
        <f aca="false">IF(D12=0,0,E12/D12)</f>
        <v>0</v>
      </c>
    </row>
    <row r="13" customFormat="false" ht="15" hidden="false" customHeight="true" outlineLevel="0" collapsed="false">
      <c r="A13" s="11" t="s">
        <v>134</v>
      </c>
      <c r="B13" s="11" t="s">
        <v>135</v>
      </c>
      <c r="C13" s="11" t="s">
        <v>140</v>
      </c>
      <c r="D13" s="11" t="n">
        <f aca="false">COUNTIF('Test case'!$B$2:$B$97,A13)</f>
        <v>8</v>
      </c>
      <c r="E13" s="11" t="n">
        <f aca="false">COUNTIFS('Test case'!$B$2:$B$97,A13,'Test case'!$K$2:$K$97,"Pass")</f>
        <v>0</v>
      </c>
      <c r="F13" s="11" t="n">
        <f aca="false">COUNTIFS('Test case'!$B$2:$B$97,A13,'Test case'!$K$2:$K$97,"Fail")</f>
        <v>0</v>
      </c>
      <c r="G13" s="11" t="n">
        <f aca="false">COUNTIFS('Test case'!$B$2:$B$97,A13,'Test case'!$K$2:$K$97,"Blocked")</f>
        <v>0</v>
      </c>
      <c r="H13" s="11" t="n">
        <f aca="false">COUNTIFS('Test case'!$B$2:$B$97,A13,'Test case'!$K$2:$K$97,"Chưa test")</f>
        <v>8</v>
      </c>
      <c r="I13" s="12" t="n">
        <f aca="false">IF(D13=0,0,E13/D13)</f>
        <v>0</v>
      </c>
    </row>
    <row r="14" customFormat="false" ht="15" hidden="false" customHeight="true" outlineLevel="0" collapsed="false">
      <c r="A14" s="11" t="s">
        <v>176</v>
      </c>
      <c r="B14" s="11" t="s">
        <v>177</v>
      </c>
      <c r="C14" s="11" t="s">
        <v>140</v>
      </c>
      <c r="D14" s="11" t="n">
        <f aca="false">COUNTIF('Test case'!$B$2:$B$97,A14)</f>
        <v>7</v>
      </c>
      <c r="E14" s="11" t="n">
        <f aca="false">COUNTIFS('Test case'!$B$2:$B$97,A14,'Test case'!$K$2:$K$97,"Pass")</f>
        <v>0</v>
      </c>
      <c r="F14" s="11" t="n">
        <f aca="false">COUNTIFS('Test case'!$B$2:$B$97,A14,'Test case'!$K$2:$K$97,"Fail")</f>
        <v>0</v>
      </c>
      <c r="G14" s="11" t="n">
        <f aca="false">COUNTIFS('Test case'!$B$2:$B$97,A14,'Test case'!$K$2:$K$97,"Blocked")</f>
        <v>0</v>
      </c>
      <c r="H14" s="11" t="n">
        <f aca="false">COUNTIFS('Test case'!$B$2:$B$97,A14,'Test case'!$K$2:$K$97,"Chưa test")</f>
        <v>7</v>
      </c>
      <c r="I14" s="12" t="n">
        <f aca="false">IF(D14=0,0,E14/D14)</f>
        <v>0</v>
      </c>
    </row>
    <row r="15" customFormat="false" ht="15" hidden="false" customHeight="true" outlineLevel="0" collapsed="false">
      <c r="A15" s="11" t="s">
        <v>213</v>
      </c>
      <c r="B15" s="11" t="s">
        <v>214</v>
      </c>
      <c r="C15" s="11" t="s">
        <v>140</v>
      </c>
      <c r="D15" s="11" t="n">
        <f aca="false">COUNTIF('Test case'!$B$2:$B$97,A15)</f>
        <v>7</v>
      </c>
      <c r="E15" s="11" t="n">
        <f aca="false">COUNTIFS('Test case'!$B$2:$B$97,A15,'Test case'!$K$2:$K$97,"Pass")</f>
        <v>0</v>
      </c>
      <c r="F15" s="11" t="n">
        <f aca="false">COUNTIFS('Test case'!$B$2:$B$97,A15,'Test case'!$K$2:$K$97,"Fail")</f>
        <v>0</v>
      </c>
      <c r="G15" s="11" t="n">
        <f aca="false">COUNTIFS('Test case'!$B$2:$B$97,A15,'Test case'!$K$2:$K$97,"Blocked")</f>
        <v>0</v>
      </c>
      <c r="H15" s="11" t="n">
        <f aca="false">COUNTIFS('Test case'!$B$2:$B$97,A15,'Test case'!$K$2:$K$97,"Chưa test")</f>
        <v>7</v>
      </c>
      <c r="I15" s="12" t="n">
        <f aca="false">IF(D15=0,0,E15/D15)</f>
        <v>0</v>
      </c>
    </row>
    <row r="16" customFormat="false" ht="15" hidden="false" customHeight="true" outlineLevel="0" collapsed="false">
      <c r="A16" s="11" t="s">
        <v>247</v>
      </c>
      <c r="B16" s="11" t="s">
        <v>248</v>
      </c>
      <c r="C16" s="11" t="s">
        <v>253</v>
      </c>
      <c r="D16" s="11" t="n">
        <f aca="false">COUNTIF('Test case'!$B$2:$B$97,A16)</f>
        <v>3</v>
      </c>
      <c r="E16" s="11" t="n">
        <f aca="false">COUNTIFS('Test case'!$B$2:$B$97,A16,'Test case'!$K$2:$K$97,"Pass")</f>
        <v>0</v>
      </c>
      <c r="F16" s="11" t="n">
        <f aca="false">COUNTIFS('Test case'!$B$2:$B$97,A16,'Test case'!$K$2:$K$97,"Fail")</f>
        <v>0</v>
      </c>
      <c r="G16" s="11" t="n">
        <f aca="false">COUNTIFS('Test case'!$B$2:$B$97,A16,'Test case'!$K$2:$K$97,"Blocked")</f>
        <v>0</v>
      </c>
      <c r="H16" s="11" t="n">
        <f aca="false">COUNTIFS('Test case'!$B$2:$B$97,A16,'Test case'!$K$2:$K$97,"Chưa test")</f>
        <v>3</v>
      </c>
      <c r="I16" s="12" t="n">
        <f aca="false">IF(D16=0,0,E16/D16)</f>
        <v>0</v>
      </c>
    </row>
    <row r="17" customFormat="false" ht="15" hidden="false" customHeight="true" outlineLevel="0" collapsed="false">
      <c r="A17" s="11" t="s">
        <v>265</v>
      </c>
      <c r="B17" s="11" t="s">
        <v>266</v>
      </c>
      <c r="C17" s="11" t="s">
        <v>253</v>
      </c>
      <c r="D17" s="11" t="n">
        <f aca="false">COUNTIF('Test case'!$B$2:$B$97,A17)</f>
        <v>2</v>
      </c>
      <c r="E17" s="11" t="n">
        <f aca="false">COUNTIFS('Test case'!$B$2:$B$97,A17,'Test case'!$K$2:$K$97,"Pass")</f>
        <v>0</v>
      </c>
      <c r="F17" s="11" t="n">
        <f aca="false">COUNTIFS('Test case'!$B$2:$B$97,A17,'Test case'!$K$2:$K$97,"Fail")</f>
        <v>0</v>
      </c>
      <c r="G17" s="11" t="n">
        <f aca="false">COUNTIFS('Test case'!$B$2:$B$97,A17,'Test case'!$K$2:$K$97,"Blocked")</f>
        <v>0</v>
      </c>
      <c r="H17" s="11" t="n">
        <f aca="false">COUNTIFS('Test case'!$B$2:$B$97,A17,'Test case'!$K$2:$K$97,"Chưa test")</f>
        <v>2</v>
      </c>
      <c r="I17" s="12" t="n">
        <f aca="false">IF(D17=0,0,E17/D17)</f>
        <v>0</v>
      </c>
    </row>
    <row r="18" customFormat="false" ht="15" hidden="false" customHeight="true" outlineLevel="0" collapsed="false">
      <c r="A18" s="11" t="s">
        <v>277</v>
      </c>
      <c r="B18" s="11" t="s">
        <v>278</v>
      </c>
      <c r="C18" s="11" t="s">
        <v>253</v>
      </c>
      <c r="D18" s="11" t="n">
        <f aca="false">COUNTIF('Test case'!$B$2:$B$97,A18)</f>
        <v>1</v>
      </c>
      <c r="E18" s="11" t="n">
        <f aca="false">COUNTIFS('Test case'!$B$2:$B$97,A18,'Test case'!$K$2:$K$97,"Pass")</f>
        <v>0</v>
      </c>
      <c r="F18" s="11" t="n">
        <f aca="false">COUNTIFS('Test case'!$B$2:$B$97,A18,'Test case'!$K$2:$K$97,"Fail")</f>
        <v>0</v>
      </c>
      <c r="G18" s="11" t="n">
        <f aca="false">COUNTIFS('Test case'!$B$2:$B$97,A18,'Test case'!$K$2:$K$97,"Blocked")</f>
        <v>0</v>
      </c>
      <c r="H18" s="11" t="n">
        <f aca="false">COUNTIFS('Test case'!$B$2:$B$97,A18,'Test case'!$K$2:$K$97,"Chưa test")</f>
        <v>1</v>
      </c>
      <c r="I18" s="12" t="n">
        <f aca="false">IF(D18=0,0,E18/D18)</f>
        <v>0</v>
      </c>
    </row>
    <row r="19" customFormat="false" ht="15" hidden="false" customHeight="true" outlineLevel="0" collapsed="false">
      <c r="A19" s="11" t="s">
        <v>283</v>
      </c>
      <c r="B19" s="11" t="s">
        <v>284</v>
      </c>
      <c r="C19" s="11" t="s">
        <v>253</v>
      </c>
      <c r="D19" s="11" t="n">
        <f aca="false">COUNTIF('Test case'!$B$2:$B$97,A19)</f>
        <v>1</v>
      </c>
      <c r="E19" s="11" t="n">
        <f aca="false">COUNTIFS('Test case'!$B$2:$B$97,A19,'Test case'!$K$2:$K$97,"Pass")</f>
        <v>0</v>
      </c>
      <c r="F19" s="11" t="n">
        <f aca="false">COUNTIFS('Test case'!$B$2:$B$97,A19,'Test case'!$K$2:$K$97,"Fail")</f>
        <v>0</v>
      </c>
      <c r="G19" s="11" t="n">
        <f aca="false">COUNTIFS('Test case'!$B$2:$B$97,A19,'Test case'!$K$2:$K$97,"Blocked")</f>
        <v>0</v>
      </c>
      <c r="H19" s="11" t="n">
        <f aca="false">COUNTIFS('Test case'!$B$2:$B$97,A19,'Test case'!$K$2:$K$97,"Chưa test")</f>
        <v>1</v>
      </c>
      <c r="I19" s="12" t="n">
        <f aca="false">IF(D19=0,0,E19/D19)</f>
        <v>0</v>
      </c>
    </row>
    <row r="20" customFormat="false" ht="15" hidden="false" customHeight="true" outlineLevel="0" collapsed="false">
      <c r="A20" s="11" t="s">
        <v>289</v>
      </c>
      <c r="B20" s="11" t="s">
        <v>290</v>
      </c>
      <c r="C20" s="11" t="s">
        <v>253</v>
      </c>
      <c r="D20" s="11" t="n">
        <f aca="false">COUNTIF('Test case'!$B$2:$B$97,A20)</f>
        <v>1</v>
      </c>
      <c r="E20" s="11" t="n">
        <f aca="false">COUNTIFS('Test case'!$B$2:$B$97,A20,'Test case'!$K$2:$K$97,"Pass")</f>
        <v>0</v>
      </c>
      <c r="F20" s="11" t="n">
        <f aca="false">COUNTIFS('Test case'!$B$2:$B$97,A20,'Test case'!$K$2:$K$97,"Fail")</f>
        <v>0</v>
      </c>
      <c r="G20" s="11" t="n">
        <f aca="false">COUNTIFS('Test case'!$B$2:$B$97,A20,'Test case'!$K$2:$K$97,"Blocked")</f>
        <v>0</v>
      </c>
      <c r="H20" s="11" t="n">
        <f aca="false">COUNTIFS('Test case'!$B$2:$B$97,A20,'Test case'!$K$2:$K$97,"Chưa test")</f>
        <v>1</v>
      </c>
      <c r="I20" s="12" t="n">
        <f aca="false">IF(D20=0,0,E20/D20)</f>
        <v>0</v>
      </c>
    </row>
    <row r="21" customFormat="false" ht="15" hidden="false" customHeight="true" outlineLevel="0" collapsed="false">
      <c r="A21" s="11" t="s">
        <v>295</v>
      </c>
      <c r="B21" s="11" t="s">
        <v>296</v>
      </c>
      <c r="C21" s="11" t="s">
        <v>253</v>
      </c>
      <c r="D21" s="11" t="n">
        <f aca="false">COUNTIF('Test case'!$B$2:$B$97,A21)</f>
        <v>1</v>
      </c>
      <c r="E21" s="11" t="n">
        <f aca="false">COUNTIFS('Test case'!$B$2:$B$97,A21,'Test case'!$K$2:$K$97,"Pass")</f>
        <v>0</v>
      </c>
      <c r="F21" s="11" t="n">
        <f aca="false">COUNTIFS('Test case'!$B$2:$B$97,A21,'Test case'!$K$2:$K$97,"Fail")</f>
        <v>0</v>
      </c>
      <c r="G21" s="11" t="n">
        <f aca="false">COUNTIFS('Test case'!$B$2:$B$97,A21,'Test case'!$K$2:$K$97,"Blocked")</f>
        <v>0</v>
      </c>
      <c r="H21" s="11" t="n">
        <f aca="false">COUNTIFS('Test case'!$B$2:$B$97,A21,'Test case'!$K$2:$K$97,"Chưa test")</f>
        <v>1</v>
      </c>
      <c r="I21" s="12" t="n">
        <f aca="false">IF(D21=0,0,E21/D21)</f>
        <v>0</v>
      </c>
    </row>
    <row r="22" customFormat="false" ht="15" hidden="false" customHeight="true" outlineLevel="0" collapsed="false">
      <c r="A22" s="11" t="s">
        <v>300</v>
      </c>
      <c r="B22" s="11" t="s">
        <v>301</v>
      </c>
      <c r="C22" s="11" t="s">
        <v>140</v>
      </c>
      <c r="D22" s="11" t="n">
        <f aca="false">COUNTIF('Test case'!$B$2:$B$97,A22)</f>
        <v>8</v>
      </c>
      <c r="E22" s="11" t="n">
        <f aca="false">COUNTIFS('Test case'!$B$2:$B$97,A22,'Test case'!$K$2:$K$97,"Pass")</f>
        <v>0</v>
      </c>
      <c r="F22" s="11" t="n">
        <f aca="false">COUNTIFS('Test case'!$B$2:$B$97,A22,'Test case'!$K$2:$K$97,"Fail")</f>
        <v>0</v>
      </c>
      <c r="G22" s="11" t="n">
        <f aca="false">COUNTIFS('Test case'!$B$2:$B$97,A22,'Test case'!$K$2:$K$97,"Blocked")</f>
        <v>0</v>
      </c>
      <c r="H22" s="11" t="n">
        <f aca="false">COUNTIFS('Test case'!$B$2:$B$97,A22,'Test case'!$K$2:$K$97,"Chưa test")</f>
        <v>8</v>
      </c>
      <c r="I22" s="12" t="n">
        <f aca="false">IF(D22=0,0,E22/D22)</f>
        <v>0</v>
      </c>
    </row>
    <row r="23" customFormat="false" ht="15" hidden="false" customHeight="true" outlineLevel="0" collapsed="false">
      <c r="A23" s="11" t="s">
        <v>341</v>
      </c>
      <c r="B23" s="11" t="s">
        <v>342</v>
      </c>
      <c r="C23" s="11" t="s">
        <v>140</v>
      </c>
      <c r="D23" s="11" t="n">
        <f aca="false">COUNTIF('Test case'!$B$2:$B$97,A23)</f>
        <v>8</v>
      </c>
      <c r="E23" s="11" t="n">
        <f aca="false">COUNTIFS('Test case'!$B$2:$B$97,A23,'Test case'!$K$2:$K$97,"Pass")</f>
        <v>0</v>
      </c>
      <c r="F23" s="11" t="n">
        <f aca="false">COUNTIFS('Test case'!$B$2:$B$97,A23,'Test case'!$K$2:$K$97,"Fail")</f>
        <v>0</v>
      </c>
      <c r="G23" s="11" t="n">
        <f aca="false">COUNTIFS('Test case'!$B$2:$B$97,A23,'Test case'!$K$2:$K$97,"Blocked")</f>
        <v>0</v>
      </c>
      <c r="H23" s="11" t="n">
        <f aca="false">COUNTIFS('Test case'!$B$2:$B$97,A23,'Test case'!$K$2:$K$97,"Chưa test")</f>
        <v>8</v>
      </c>
      <c r="I23" s="12" t="n">
        <f aca="false">IF(D23=0,0,E23/D23)</f>
        <v>0</v>
      </c>
    </row>
    <row r="24" customFormat="false" ht="15" hidden="false" customHeight="true" outlineLevel="0" collapsed="false">
      <c r="A24" s="11" t="s">
        <v>381</v>
      </c>
      <c r="B24" s="11" t="s">
        <v>382</v>
      </c>
      <c r="C24" s="11" t="s">
        <v>140</v>
      </c>
      <c r="D24" s="11" t="n">
        <f aca="false">COUNTIF('Test case'!$B$2:$B$97,A24)</f>
        <v>10</v>
      </c>
      <c r="E24" s="11" t="n">
        <f aca="false">COUNTIFS('Test case'!$B$2:$B$97,A24,'Test case'!$K$2:$K$97,"Pass")</f>
        <v>0</v>
      </c>
      <c r="F24" s="11" t="n">
        <f aca="false">COUNTIFS('Test case'!$B$2:$B$97,A24,'Test case'!$K$2:$K$97,"Fail")</f>
        <v>0</v>
      </c>
      <c r="G24" s="11" t="n">
        <f aca="false">COUNTIFS('Test case'!$B$2:$B$97,A24,'Test case'!$K$2:$K$97,"Blocked")</f>
        <v>0</v>
      </c>
      <c r="H24" s="11" t="n">
        <f aca="false">COUNTIFS('Test case'!$B$2:$B$97,A24,'Test case'!$K$2:$K$97,"Chưa test")</f>
        <v>10</v>
      </c>
      <c r="I24" s="12" t="n">
        <f aca="false">IF(D24=0,0,E24/D24)</f>
        <v>0</v>
      </c>
    </row>
    <row r="25" customFormat="false" ht="15" hidden="false" customHeight="true" outlineLevel="0" collapsed="false">
      <c r="A25" s="11" t="s">
        <v>428</v>
      </c>
      <c r="B25" s="11" t="s">
        <v>429</v>
      </c>
      <c r="C25" s="11" t="s">
        <v>140</v>
      </c>
      <c r="D25" s="11" t="n">
        <f aca="false">COUNTIF('Test case'!$B$2:$B$97,A25)</f>
        <v>9</v>
      </c>
      <c r="E25" s="11" t="n">
        <f aca="false">COUNTIFS('Test case'!$B$2:$B$97,A25,'Test case'!$K$2:$K$97,"Pass")</f>
        <v>0</v>
      </c>
      <c r="F25" s="11" t="n">
        <f aca="false">COUNTIFS('Test case'!$B$2:$B$97,A25,'Test case'!$K$2:$K$97,"Fail")</f>
        <v>0</v>
      </c>
      <c r="G25" s="11" t="n">
        <f aca="false">COUNTIFS('Test case'!$B$2:$B$97,A25,'Test case'!$K$2:$K$97,"Blocked")</f>
        <v>0</v>
      </c>
      <c r="H25" s="11" t="n">
        <f aca="false">COUNTIFS('Test case'!$B$2:$B$97,A25,'Test case'!$K$2:$K$97,"Chưa test")</f>
        <v>9</v>
      </c>
      <c r="I25" s="12" t="n">
        <f aca="false">IF(D25=0,0,E25/D25)</f>
        <v>0</v>
      </c>
    </row>
    <row r="26" customFormat="false" ht="15" hidden="false" customHeight="true" outlineLevel="0" collapsed="false">
      <c r="A26" s="11" t="s">
        <v>470</v>
      </c>
      <c r="B26" s="11" t="s">
        <v>471</v>
      </c>
      <c r="C26" s="11" t="s">
        <v>253</v>
      </c>
      <c r="D26" s="11" t="n">
        <f aca="false">COUNTIF('Test case'!$B$2:$B$97,A26)</f>
        <v>1</v>
      </c>
      <c r="E26" s="11" t="n">
        <f aca="false">COUNTIFS('Test case'!$B$2:$B$97,A26,'Test case'!$K$2:$K$97,"Pass")</f>
        <v>0</v>
      </c>
      <c r="F26" s="11" t="n">
        <f aca="false">COUNTIFS('Test case'!$B$2:$B$97,A26,'Test case'!$K$2:$K$97,"Fail")</f>
        <v>0</v>
      </c>
      <c r="G26" s="11" t="n">
        <f aca="false">COUNTIFS('Test case'!$B$2:$B$97,A26,'Test case'!$K$2:$K$97,"Blocked")</f>
        <v>0</v>
      </c>
      <c r="H26" s="11" t="n">
        <f aca="false">COUNTIFS('Test case'!$B$2:$B$97,A26,'Test case'!$K$2:$K$97,"Chưa test")</f>
        <v>1</v>
      </c>
      <c r="I26" s="12" t="n">
        <f aca="false">IF(D26=0,0,E26/D26)</f>
        <v>0</v>
      </c>
    </row>
    <row r="27" customFormat="false" ht="15" hidden="false" customHeight="true" outlineLevel="0" collapsed="false">
      <c r="A27" s="11" t="s">
        <v>476</v>
      </c>
      <c r="B27" s="11" t="s">
        <v>477</v>
      </c>
      <c r="C27" s="11" t="s">
        <v>253</v>
      </c>
      <c r="D27" s="11" t="n">
        <f aca="false">COUNTIF('Test case'!$B$2:$B$97,A27)</f>
        <v>1</v>
      </c>
      <c r="E27" s="11" t="n">
        <f aca="false">COUNTIFS('Test case'!$B$2:$B$97,A27,'Test case'!$K$2:$K$97,"Pass")</f>
        <v>0</v>
      </c>
      <c r="F27" s="11" t="n">
        <f aca="false">COUNTIFS('Test case'!$B$2:$B$97,A27,'Test case'!$K$2:$K$97,"Fail")</f>
        <v>0</v>
      </c>
      <c r="G27" s="11" t="n">
        <f aca="false">COUNTIFS('Test case'!$B$2:$B$97,A27,'Test case'!$K$2:$K$97,"Blocked")</f>
        <v>0</v>
      </c>
      <c r="H27" s="11" t="n">
        <f aca="false">COUNTIFS('Test case'!$B$2:$B$97,A27,'Test case'!$K$2:$K$97,"Chưa test")</f>
        <v>1</v>
      </c>
      <c r="I27" s="12" t="n">
        <f aca="false">IF(D27=0,0,E27/D27)</f>
        <v>0</v>
      </c>
    </row>
    <row r="28" customFormat="false" ht="15" hidden="false" customHeight="true" outlineLevel="0" collapsed="false">
      <c r="A28" s="11" t="s">
        <v>482</v>
      </c>
      <c r="B28" s="11" t="s">
        <v>483</v>
      </c>
      <c r="C28" s="11" t="s">
        <v>140</v>
      </c>
      <c r="D28" s="11" t="n">
        <f aca="false">COUNTIF('Test case'!$B$2:$B$97,A28)</f>
        <v>8</v>
      </c>
      <c r="E28" s="11" t="n">
        <f aca="false">COUNTIFS('Test case'!$B$2:$B$97,A28,'Test case'!$K$2:$K$97,"Pass")</f>
        <v>0</v>
      </c>
      <c r="F28" s="11" t="n">
        <f aca="false">COUNTIFS('Test case'!$B$2:$B$97,A28,'Test case'!$K$2:$K$97,"Fail")</f>
        <v>0</v>
      </c>
      <c r="G28" s="11" t="n">
        <f aca="false">COUNTIFS('Test case'!$B$2:$B$97,A28,'Test case'!$K$2:$K$97,"Blocked")</f>
        <v>0</v>
      </c>
      <c r="H28" s="11" t="n">
        <f aca="false">COUNTIFS('Test case'!$B$2:$B$97,A28,'Test case'!$K$2:$K$97,"Chưa test")</f>
        <v>8</v>
      </c>
      <c r="I28" s="12" t="n">
        <f aca="false">IF(D28=0,0,E28/D28)</f>
        <v>0</v>
      </c>
    </row>
    <row r="29" customFormat="false" ht="15" hidden="false" customHeight="true" outlineLevel="0" collapsed="false">
      <c r="A29" s="13" t="s">
        <v>528</v>
      </c>
      <c r="D29" s="13" t="n">
        <f aca="false">SUM(D5:D28)</f>
        <v>96</v>
      </c>
      <c r="E29" s="13" t="n">
        <f aca="false">SUM(E5:E28)</f>
        <v>0</v>
      </c>
      <c r="F29" s="13" t="n">
        <f aca="false">SUM(F5:F28)</f>
        <v>0</v>
      </c>
      <c r="G29" s="13" t="n">
        <f aca="false">SUM(G5:G28)</f>
        <v>0</v>
      </c>
      <c r="H29" s="13" t="n">
        <f aca="false">SUM(H5:H28)</f>
        <v>96</v>
      </c>
      <c r="I29" s="14" t="n">
        <f aca="false">IF(D29=0,0,E29/D29)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70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15" t="s">
        <v>529</v>
      </c>
      <c r="B1" s="15" t="s">
        <v>530</v>
      </c>
      <c r="C1" s="15" t="s">
        <v>531</v>
      </c>
      <c r="D1" s="15" t="s">
        <v>532</v>
      </c>
      <c r="E1" s="15" t="s">
        <v>15</v>
      </c>
      <c r="F1" s="15" t="s">
        <v>17</v>
      </c>
      <c r="G1" s="15" t="s">
        <v>533</v>
      </c>
    </row>
    <row r="2" customFormat="false" ht="23.25" hidden="false" customHeight="true" outlineLevel="0" collapsed="false">
      <c r="A2" s="5" t="s">
        <v>534</v>
      </c>
      <c r="B2" s="5" t="s">
        <v>488</v>
      </c>
      <c r="C2" s="5" t="s">
        <v>535</v>
      </c>
      <c r="D2" s="5" t="s">
        <v>536</v>
      </c>
      <c r="E2" s="5" t="s">
        <v>140</v>
      </c>
      <c r="F2" s="5" t="s">
        <v>537</v>
      </c>
      <c r="G2" s="5" t="s">
        <v>538</v>
      </c>
    </row>
    <row r="3" customFormat="false" ht="23.25" hidden="false" customHeight="true" outlineLevel="0" collapsed="false">
      <c r="A3" s="5" t="s">
        <v>539</v>
      </c>
      <c r="B3" s="5" t="s">
        <v>170</v>
      </c>
      <c r="C3" s="5" t="s">
        <v>540</v>
      </c>
      <c r="D3" s="5" t="s">
        <v>536</v>
      </c>
      <c r="E3" s="5" t="s">
        <v>541</v>
      </c>
      <c r="F3" s="5" t="s">
        <v>537</v>
      </c>
      <c r="G3" s="5" t="s">
        <v>538</v>
      </c>
    </row>
    <row r="4" customFormat="false" ht="23.25" hidden="false" customHeight="true" outlineLevel="0" collapsed="false">
      <c r="A4" s="5" t="s">
        <v>542</v>
      </c>
      <c r="B4" s="5" t="s">
        <v>316</v>
      </c>
      <c r="C4" s="5" t="s">
        <v>543</v>
      </c>
      <c r="D4" s="5" t="s">
        <v>544</v>
      </c>
      <c r="E4" s="5" t="s">
        <v>140</v>
      </c>
      <c r="F4" s="5" t="s">
        <v>537</v>
      </c>
      <c r="G4" s="5" t="s">
        <v>538</v>
      </c>
    </row>
    <row r="5" customFormat="false" ht="23.25" hidden="false" customHeight="true" outlineLevel="0" collapsed="false">
      <c r="A5" s="5" t="s">
        <v>545</v>
      </c>
      <c r="B5" s="5" t="s">
        <v>396</v>
      </c>
      <c r="C5" s="5" t="s">
        <v>546</v>
      </c>
      <c r="D5" s="5" t="s">
        <v>544</v>
      </c>
      <c r="E5" s="5" t="s">
        <v>140</v>
      </c>
      <c r="F5" s="5" t="s">
        <v>537</v>
      </c>
      <c r="G5" s="5" t="s">
        <v>538</v>
      </c>
    </row>
    <row r="6" customFormat="false" ht="23.25" hidden="false" customHeight="true" outlineLevel="0" collapsed="false">
      <c r="A6" s="5" t="s">
        <v>547</v>
      </c>
      <c r="B6" s="5" t="s">
        <v>207</v>
      </c>
      <c r="C6" s="5" t="s">
        <v>548</v>
      </c>
      <c r="D6" s="5" t="s">
        <v>544</v>
      </c>
      <c r="E6" s="5" t="s">
        <v>549</v>
      </c>
      <c r="F6" s="5" t="s">
        <v>537</v>
      </c>
      <c r="G6" s="5" t="s">
        <v>538</v>
      </c>
    </row>
    <row r="7" customFormat="false" ht="23.25" hidden="false" customHeight="true" outlineLevel="0" collapsed="false">
      <c r="A7" s="5" t="s">
        <v>550</v>
      </c>
      <c r="B7" s="5" t="s">
        <v>386</v>
      </c>
      <c r="C7" s="5" t="s">
        <v>551</v>
      </c>
      <c r="D7" s="5" t="s">
        <v>552</v>
      </c>
      <c r="E7" s="5" t="s">
        <v>140</v>
      </c>
      <c r="F7" s="5" t="s">
        <v>537</v>
      </c>
      <c r="G7" s="5" t="s">
        <v>538</v>
      </c>
    </row>
    <row r="8" customFormat="false" ht="23.25" hidden="false" customHeight="true" outlineLevel="0" collapsed="false">
      <c r="A8" s="5" t="s">
        <v>553</v>
      </c>
      <c r="B8" s="5" t="s">
        <v>464</v>
      </c>
      <c r="C8" s="5" t="s">
        <v>554</v>
      </c>
      <c r="D8" s="5" t="s">
        <v>536</v>
      </c>
      <c r="E8" s="5" t="s">
        <v>555</v>
      </c>
      <c r="F8" s="5" t="s">
        <v>556</v>
      </c>
      <c r="G8" s="5" t="s">
        <v>538</v>
      </c>
    </row>
    <row r="9" customFormat="false" ht="23.25" hidden="false" customHeight="true" outlineLevel="0" collapsed="false">
      <c r="A9" s="5" t="s">
        <v>557</v>
      </c>
      <c r="B9" s="5" t="s">
        <v>357</v>
      </c>
      <c r="C9" s="5" t="s">
        <v>558</v>
      </c>
      <c r="D9" s="5" t="s">
        <v>544</v>
      </c>
      <c r="E9" s="5" t="s">
        <v>140</v>
      </c>
      <c r="F9" s="5" t="s">
        <v>537</v>
      </c>
      <c r="G9" s="5" t="s">
        <v>538</v>
      </c>
    </row>
    <row r="10" customFormat="false" ht="23.25" hidden="false" customHeight="true" outlineLevel="0" collapsed="false">
      <c r="A10" s="5" t="s">
        <v>559</v>
      </c>
      <c r="B10" s="5" t="s">
        <v>146</v>
      </c>
      <c r="C10" s="5" t="s">
        <v>560</v>
      </c>
      <c r="D10" s="5" t="s">
        <v>544</v>
      </c>
      <c r="E10" s="5" t="s">
        <v>140</v>
      </c>
      <c r="F10" s="5" t="s">
        <v>537</v>
      </c>
      <c r="G10" s="5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2026-10-19T09:06:07Z</dcterms:created>
  <dc:creator>openpyxl</dc:creator>
  <dc:description/>
  <dc:language>en-US</dc:language>
  <cp:lastModifiedBy/>
  <dcterms:modified xsi:type="dcterms:W3CDTF">2026-10-19T09:32:13Z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